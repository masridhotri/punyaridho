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cera\OneDrive\Documents\"/>
    </mc:Choice>
  </mc:AlternateContent>
  <xr:revisionPtr revIDLastSave="0" documentId="8_{DFD6AFA7-023A-4159-8EA0-1CA4AA52FBC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rekap KAS" sheetId="3" r:id="rId2"/>
    <sheet name="Rekap tend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KgeKPQQcIYHdBCGUm7B2XsxhA+N9gTDbNpqzb36SYc="/>
    </ext>
  </extLst>
</workbook>
</file>

<file path=xl/calcChain.xml><?xml version="1.0" encoding="utf-8"?>
<calcChain xmlns="http://schemas.openxmlformats.org/spreadsheetml/2006/main">
  <c r="F13" i="4" l="1"/>
  <c r="G19" i="4"/>
  <c r="G20" i="4" s="1"/>
  <c r="G21" i="4" s="1"/>
  <c r="F88" i="1"/>
  <c r="E88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7" i="1"/>
</calcChain>
</file>

<file path=xl/sharedStrings.xml><?xml version="1.0" encoding="utf-8"?>
<sst xmlns="http://schemas.openxmlformats.org/spreadsheetml/2006/main" count="327" uniqueCount="165">
  <si>
    <t>LAPORAN KEUANGAN KAS DEWAN AMBALAN MASA BAKTI 2023/2024</t>
  </si>
  <si>
    <t>AMBALAN GAJAH MADA TRIBUANA WIJAYA TUNGGADEWI</t>
  </si>
  <si>
    <t>TANGGAL</t>
  </si>
  <si>
    <t>TRANSAKSI</t>
  </si>
  <si>
    <t>DEBIT</t>
  </si>
  <si>
    <t>KREDIT</t>
  </si>
  <si>
    <t>SALDO</t>
  </si>
  <si>
    <t>Kas Rutin</t>
  </si>
  <si>
    <t>DES'22</t>
  </si>
  <si>
    <t>JAN'23</t>
  </si>
  <si>
    <t>6kg Telo Rambat</t>
  </si>
  <si>
    <t>1 Salonpas Koyo</t>
  </si>
  <si>
    <t>4 Antangin</t>
  </si>
  <si>
    <t>FEB'23</t>
  </si>
  <si>
    <t>Menjenguk (Buah Tangan)</t>
  </si>
  <si>
    <t>MAR'23</t>
  </si>
  <si>
    <t>Modal Kewirausahaan</t>
  </si>
  <si>
    <t>Laba Kewirausahaan</t>
  </si>
  <si>
    <t>APR'23</t>
  </si>
  <si>
    <t>MEI'23</t>
  </si>
  <si>
    <t>JUN'23</t>
  </si>
  <si>
    <t>2 Gas Elpiji</t>
  </si>
  <si>
    <t>1 pack Lilin</t>
  </si>
  <si>
    <t>4 Air Galon</t>
  </si>
  <si>
    <t>3 Spirtus</t>
  </si>
  <si>
    <t>Banner</t>
  </si>
  <si>
    <t>Transportasi</t>
  </si>
  <si>
    <t>Pita Merah Putih</t>
  </si>
  <si>
    <t>JUL'23</t>
  </si>
  <si>
    <t>AGS'23</t>
  </si>
  <si>
    <t>Titipan Dari Kak Restu</t>
  </si>
  <si>
    <t>Bunga Nyekar</t>
  </si>
  <si>
    <t>SEPT'23</t>
  </si>
  <si>
    <t>OKT'23</t>
  </si>
  <si>
    <t>2 Bendera Merah Putih Besar</t>
  </si>
  <si>
    <t>2 Bendera Merah Putih Kecil</t>
  </si>
  <si>
    <t xml:space="preserve">Belanja Raicab </t>
  </si>
  <si>
    <t>4 Ember Cat</t>
  </si>
  <si>
    <t>NOV'23</t>
  </si>
  <si>
    <t>2 Gas Portable</t>
  </si>
  <si>
    <t>DES'23</t>
  </si>
  <si>
    <t>JAN'24</t>
  </si>
  <si>
    <t>Takziah</t>
  </si>
  <si>
    <t>FEB'24</t>
  </si>
  <si>
    <t>4 Paravin</t>
  </si>
  <si>
    <t>Aqua</t>
  </si>
  <si>
    <t>Arang</t>
  </si>
  <si>
    <t>Minyak Goreng</t>
  </si>
  <si>
    <t>Korek Api</t>
  </si>
  <si>
    <t>Uang Dari Pak Restu</t>
  </si>
  <si>
    <t>1 Gas Elpiji</t>
  </si>
  <si>
    <t>Uang Ziarah</t>
  </si>
  <si>
    <t>Bunga Sekar</t>
  </si>
  <si>
    <t>2 Air Galon</t>
  </si>
  <si>
    <t>MAR'24</t>
  </si>
  <si>
    <t>8 Nutrijel Coklat</t>
  </si>
  <si>
    <t>3 Susu Bendera</t>
  </si>
  <si>
    <t>1 Pack Gelas</t>
  </si>
  <si>
    <t>Gula</t>
  </si>
  <si>
    <t>1 Pack Sendok</t>
  </si>
  <si>
    <t>1 Pack Kresek Kecil</t>
  </si>
  <si>
    <t>APR'24</t>
  </si>
  <si>
    <t>MEI'24</t>
  </si>
  <si>
    <t>1 Air Galon</t>
  </si>
  <si>
    <t>Print</t>
  </si>
  <si>
    <t>JUN'24</t>
  </si>
  <si>
    <t>Polo Pendem</t>
  </si>
  <si>
    <t>1 Plakat</t>
  </si>
  <si>
    <t>JUL'24</t>
  </si>
  <si>
    <t>Uang Cat Dari Pak Restu</t>
  </si>
  <si>
    <t>3 Cat Akrilik</t>
  </si>
  <si>
    <t>AGS'24</t>
  </si>
  <si>
    <t>Tumpengan</t>
  </si>
  <si>
    <t>TOTAL</t>
  </si>
  <si>
    <t>No</t>
  </si>
  <si>
    <t>Tanggal</t>
  </si>
  <si>
    <t>1</t>
  </si>
  <si>
    <t>2</t>
  </si>
  <si>
    <t>3</t>
  </si>
  <si>
    <t>4</t>
  </si>
  <si>
    <t>5</t>
  </si>
  <si>
    <t>6</t>
  </si>
  <si>
    <t>7</t>
  </si>
  <si>
    <t>NO</t>
  </si>
  <si>
    <t>NAMA</t>
  </si>
  <si>
    <t>SEP</t>
  </si>
  <si>
    <t>OKT</t>
  </si>
  <si>
    <t>NOV</t>
  </si>
  <si>
    <t>DES</t>
  </si>
  <si>
    <t>Abdul Aziz H</t>
  </si>
  <si>
    <t>Agil Adefreditya</t>
  </si>
  <si>
    <t>Andita Dwi Agestina</t>
  </si>
  <si>
    <t>Aulia Intan Anggraini</t>
  </si>
  <si>
    <t>Bintang Permana</t>
  </si>
  <si>
    <t>Catur Satrio A.W</t>
  </si>
  <si>
    <t>Desi Sania Rosanti</t>
  </si>
  <si>
    <t>8</t>
  </si>
  <si>
    <t>Hanum Salma Aulia</t>
  </si>
  <si>
    <t>9</t>
  </si>
  <si>
    <t xml:space="preserve"> Fatikh Ali Zaesar</t>
  </si>
  <si>
    <t>10</t>
  </si>
  <si>
    <t>Indira Aristawati</t>
  </si>
  <si>
    <t>11</t>
  </si>
  <si>
    <t>Irfin Ridho Aryano</t>
  </si>
  <si>
    <t>12</t>
  </si>
  <si>
    <t>Khoirudin</t>
  </si>
  <si>
    <t>13</t>
  </si>
  <si>
    <t>Kuntum Khairunnesa</t>
  </si>
  <si>
    <t>14</t>
  </si>
  <si>
    <t>Maya Elok H.S</t>
  </si>
  <si>
    <t>15</t>
  </si>
  <si>
    <t>Moch. Zacki Ibrahim</t>
  </si>
  <si>
    <t>16</t>
  </si>
  <si>
    <t>M. Alfat Faisal P</t>
  </si>
  <si>
    <t>17</t>
  </si>
  <si>
    <t>Natalia Defi W</t>
  </si>
  <si>
    <t>18</t>
  </si>
  <si>
    <t>Niken Permatasari</t>
  </si>
  <si>
    <t>19</t>
  </si>
  <si>
    <t>Nofa Duwi Saputra</t>
  </si>
  <si>
    <t>20</t>
  </si>
  <si>
    <t>Nurul Varida</t>
  </si>
  <si>
    <t>21</t>
  </si>
  <si>
    <t>Oktafia Ayu R</t>
  </si>
  <si>
    <t>22</t>
  </si>
  <si>
    <t>Oktaria Rahmawati</t>
  </si>
  <si>
    <t>23</t>
  </si>
  <si>
    <t>Prima Aulia Zahra</t>
  </si>
  <si>
    <t>24</t>
  </si>
  <si>
    <t>Salsabila C.T</t>
  </si>
  <si>
    <t>25</t>
  </si>
  <si>
    <t>Tekhi Nurfitriana D</t>
  </si>
  <si>
    <t>26</t>
  </si>
  <si>
    <t>Wahid Ridlotu R</t>
  </si>
  <si>
    <t>Nama</t>
  </si>
  <si>
    <t>JAN</t>
  </si>
  <si>
    <t>FEB</t>
  </si>
  <si>
    <t>MAR</t>
  </si>
  <si>
    <t>APR</t>
  </si>
  <si>
    <t>MEI</t>
  </si>
  <si>
    <t>JUN</t>
  </si>
  <si>
    <t>JUL</t>
  </si>
  <si>
    <t>AGS</t>
  </si>
  <si>
    <t>LAPORAN KEUANGAN PEMASUKAN PEMINJAMAN BARANG INVENTARIS</t>
  </si>
  <si>
    <t>Nama Barang</t>
  </si>
  <si>
    <t>Volume</t>
  </si>
  <si>
    <t>Peminjam</t>
  </si>
  <si>
    <t xml:space="preserve">Jumlah </t>
  </si>
  <si>
    <t>Tenda Dom</t>
  </si>
  <si>
    <t>SMPN 3 Arjosari</t>
  </si>
  <si>
    <t xml:space="preserve">Tenda </t>
  </si>
  <si>
    <t>SMKN 3 Pacitan</t>
  </si>
  <si>
    <t>Tenda</t>
  </si>
  <si>
    <t>SMKN 2 Pacitan</t>
  </si>
  <si>
    <t>SMKN Ngadirojo</t>
  </si>
  <si>
    <t>Tenda Kompi</t>
  </si>
  <si>
    <t>Jumlah:</t>
  </si>
  <si>
    <t>Pemeliharaan dan Perawatan Tenda</t>
  </si>
  <si>
    <t>Transaksi</t>
  </si>
  <si>
    <t>Debit</t>
  </si>
  <si>
    <t>Kredit</t>
  </si>
  <si>
    <t>Saldo</t>
  </si>
  <si>
    <t>Laundry(2)</t>
  </si>
  <si>
    <t>Laundry(4)</t>
  </si>
  <si>
    <t>Total Akhir: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</si>
</sst>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.00_-;_-[$Rp-421]* \-#,##0.00_-;_-[$Rp-421]* &quot;-&quot;??_-;_-@"/>
    <numFmt numFmtId="165" formatCode="[$Rp-421]#,##0"/>
    <numFmt numFmtId="166" formatCode="&quot;Rp&quot;#,##0.00"/>
  </numFmts>
  <fonts count="11" x14ac:knownFonts="1">
    <font>
      <sz val="11"/>
      <color rgb="FF000000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sz val="11"/>
      <color theme="1"/>
      <name val="Calibri"/>
    </font>
    <font>
      <b/>
      <sz val="11"/>
      <color theme="1"/>
      <name val="Arial"/>
      <scheme val="minor"/>
    </font>
    <font>
      <sz val="11"/>
      <name val="Arial"/>
    </font>
    <font>
      <b/>
      <sz val="13"/>
      <color theme="1"/>
      <name val="Arial"/>
      <scheme val="minor"/>
    </font>
    <font>
      <sz val="17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164" fontId="6" fillId="3" borderId="0" xfId="0" applyNumberFormat="1" applyFont="1" applyFill="1"/>
    <xf numFmtId="0" fontId="6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" xfId="0" applyNumberFormat="1" applyFont="1" applyBorder="1"/>
    <xf numFmtId="0" fontId="4" fillId="0" borderId="0" xfId="0" applyFont="1"/>
    <xf numFmtId="165" fontId="5" fillId="0" borderId="0" xfId="0" applyNumberFormat="1" applyFont="1"/>
    <xf numFmtId="0" fontId="5" fillId="0" borderId="0" xfId="0" applyFont="1"/>
    <xf numFmtId="14" fontId="5" fillId="0" borderId="1" xfId="0" applyNumberFormat="1" applyFont="1" applyBorder="1"/>
    <xf numFmtId="166" fontId="5" fillId="0" borderId="1" xfId="0" applyNumberFormat="1" applyFont="1" applyBorder="1"/>
    <xf numFmtId="0" fontId="7" fillId="0" borderId="2" xfId="0" applyFont="1" applyBorder="1" applyAlignment="1">
      <alignment horizontal="center"/>
    </xf>
    <xf numFmtId="0" fontId="8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4" xfId="0" applyFont="1" applyBorder="1"/>
    <xf numFmtId="0" fontId="4" fillId="0" borderId="5" xfId="0" applyFont="1" applyBorder="1" applyAlignment="1">
      <alignment horizontal="center" vertical="center"/>
    </xf>
    <xf numFmtId="0" fontId="8" fillId="0" borderId="6" xfId="0" applyFont="1" applyBorder="1"/>
    <xf numFmtId="0" fontId="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/>
    <xf numFmtId="0" fontId="5" fillId="2" borderId="7" xfId="0" applyFont="1" applyFill="1" applyBorder="1" applyAlignment="1">
      <alignment horizontal="center"/>
    </xf>
    <xf numFmtId="0" fontId="5" fillId="0" borderId="7" xfId="0" applyFont="1" applyBorder="1"/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000"/>
  <sheetViews>
    <sheetView topLeftCell="A12" workbookViewId="0">
      <selection activeCell="I72" sqref="I72"/>
    </sheetView>
  </sheetViews>
  <sheetFormatPr defaultColWidth="12.6640625" defaultRowHeight="15" customHeight="1" x14ac:dyDescent="0.3"/>
  <cols>
    <col min="1" max="2" width="8" customWidth="1"/>
    <col min="3" max="3" width="13.6640625" customWidth="1"/>
    <col min="4" max="4" width="27.75" customWidth="1"/>
    <col min="5" max="5" width="14.75" customWidth="1"/>
    <col min="6" max="6" width="13.6640625" customWidth="1"/>
    <col min="7" max="7" width="19" customWidth="1"/>
    <col min="8" max="26" width="14.4140625" customWidth="1"/>
  </cols>
  <sheetData>
    <row r="1" spans="3:7" ht="14" x14ac:dyDescent="0.3">
      <c r="C1" s="32" t="s">
        <v>0</v>
      </c>
      <c r="D1" s="31"/>
      <c r="E1" s="31"/>
      <c r="F1" s="31"/>
      <c r="G1" s="31"/>
    </row>
    <row r="2" spans="3:7" ht="15" customHeight="1" x14ac:dyDescent="0.3">
      <c r="C2" s="31"/>
      <c r="D2" s="31"/>
      <c r="E2" s="31"/>
      <c r="F2" s="31"/>
      <c r="G2" s="31"/>
    </row>
    <row r="3" spans="3:7" ht="14" x14ac:dyDescent="0.3">
      <c r="D3" s="30" t="s">
        <v>1</v>
      </c>
      <c r="E3" s="31"/>
      <c r="F3" s="31"/>
    </row>
    <row r="4" spans="3:7" ht="15" customHeight="1" x14ac:dyDescent="0.3">
      <c r="D4" s="31"/>
      <c r="E4" s="31"/>
      <c r="F4" s="31"/>
    </row>
    <row r="6" spans="3:7" ht="14.5" x14ac:dyDescent="0.3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3:7" ht="14.5" x14ac:dyDescent="0.35">
      <c r="C7" s="2">
        <v>44814</v>
      </c>
      <c r="D7" s="3" t="s">
        <v>7</v>
      </c>
      <c r="E7" s="4">
        <v>17000</v>
      </c>
      <c r="F7" s="4"/>
      <c r="G7" s="4">
        <f>(E7)</f>
        <v>17000</v>
      </c>
    </row>
    <row r="8" spans="3:7" ht="14.5" x14ac:dyDescent="0.35">
      <c r="C8" s="5">
        <v>44821</v>
      </c>
      <c r="D8" s="6" t="s">
        <v>7</v>
      </c>
      <c r="E8" s="7">
        <v>19000</v>
      </c>
      <c r="F8" s="7"/>
      <c r="G8" s="7">
        <f t="shared" ref="G8:G20" si="0">SUM(G7,E8)</f>
        <v>36000</v>
      </c>
    </row>
    <row r="9" spans="3:7" ht="14.5" x14ac:dyDescent="0.35">
      <c r="C9" s="5">
        <v>44828</v>
      </c>
      <c r="D9" s="6" t="s">
        <v>7</v>
      </c>
      <c r="E9" s="7">
        <v>16000</v>
      </c>
      <c r="F9" s="7"/>
      <c r="G9" s="7">
        <f t="shared" si="0"/>
        <v>52000</v>
      </c>
    </row>
    <row r="10" spans="3:7" ht="14.5" x14ac:dyDescent="0.35">
      <c r="C10" s="5">
        <v>44834</v>
      </c>
      <c r="D10" s="6" t="s">
        <v>7</v>
      </c>
      <c r="E10" s="7">
        <v>17000</v>
      </c>
      <c r="F10" s="7"/>
      <c r="G10" s="7">
        <f t="shared" si="0"/>
        <v>69000</v>
      </c>
    </row>
    <row r="11" spans="3:7" ht="14.5" x14ac:dyDescent="0.35">
      <c r="C11" s="2">
        <v>44841</v>
      </c>
      <c r="D11" s="3" t="s">
        <v>7</v>
      </c>
      <c r="E11" s="4">
        <v>20000</v>
      </c>
      <c r="F11" s="4"/>
      <c r="G11" s="4">
        <f t="shared" si="0"/>
        <v>89000</v>
      </c>
    </row>
    <row r="12" spans="3:7" ht="14.5" x14ac:dyDescent="0.35">
      <c r="C12" s="5">
        <v>44849</v>
      </c>
      <c r="D12" s="6" t="s">
        <v>7</v>
      </c>
      <c r="E12" s="7">
        <v>22000</v>
      </c>
      <c r="F12" s="7"/>
      <c r="G12" s="7">
        <f t="shared" si="0"/>
        <v>111000</v>
      </c>
    </row>
    <row r="13" spans="3:7" ht="14.5" x14ac:dyDescent="0.35">
      <c r="C13" s="5">
        <v>44856</v>
      </c>
      <c r="D13" s="6" t="s">
        <v>7</v>
      </c>
      <c r="E13" s="7">
        <v>19000</v>
      </c>
      <c r="F13" s="7"/>
      <c r="G13" s="7">
        <f t="shared" si="0"/>
        <v>130000</v>
      </c>
    </row>
    <row r="14" spans="3:7" ht="14.5" x14ac:dyDescent="0.35">
      <c r="C14" s="5">
        <v>44863</v>
      </c>
      <c r="D14" s="6" t="s">
        <v>7</v>
      </c>
      <c r="E14" s="7">
        <v>20000</v>
      </c>
      <c r="F14" s="7"/>
      <c r="G14" s="7">
        <f t="shared" si="0"/>
        <v>150000</v>
      </c>
    </row>
    <row r="15" spans="3:7" ht="14.5" x14ac:dyDescent="0.35">
      <c r="C15" s="2">
        <v>44869</v>
      </c>
      <c r="D15" s="3" t="s">
        <v>7</v>
      </c>
      <c r="E15" s="4">
        <v>22000</v>
      </c>
      <c r="F15" s="4"/>
      <c r="G15" s="4">
        <f t="shared" si="0"/>
        <v>172000</v>
      </c>
    </row>
    <row r="16" spans="3:7" ht="14.5" x14ac:dyDescent="0.35">
      <c r="C16" s="5">
        <v>44877</v>
      </c>
      <c r="D16" s="6" t="s">
        <v>7</v>
      </c>
      <c r="E16" s="7">
        <v>23000</v>
      </c>
      <c r="F16" s="7"/>
      <c r="G16" s="7">
        <f t="shared" si="0"/>
        <v>195000</v>
      </c>
    </row>
    <row r="17" spans="3:7" ht="14.5" x14ac:dyDescent="0.35">
      <c r="C17" s="5">
        <v>44884</v>
      </c>
      <c r="D17" s="6" t="s">
        <v>7</v>
      </c>
      <c r="E17" s="7">
        <v>22000</v>
      </c>
      <c r="F17" s="7"/>
      <c r="G17" s="7">
        <f t="shared" si="0"/>
        <v>217000</v>
      </c>
    </row>
    <row r="18" spans="3:7" ht="14.5" x14ac:dyDescent="0.35">
      <c r="C18" s="5">
        <v>44891</v>
      </c>
      <c r="D18" s="6" t="s">
        <v>7</v>
      </c>
      <c r="E18" s="7">
        <v>22000</v>
      </c>
      <c r="F18" s="7"/>
      <c r="G18" s="7">
        <f t="shared" si="0"/>
        <v>239000</v>
      </c>
    </row>
    <row r="19" spans="3:7" ht="14.5" x14ac:dyDescent="0.35">
      <c r="C19" s="2" t="s">
        <v>8</v>
      </c>
      <c r="D19" s="3" t="s">
        <v>7</v>
      </c>
      <c r="E19" s="4">
        <v>104000</v>
      </c>
      <c r="F19" s="4"/>
      <c r="G19" s="4">
        <f t="shared" si="0"/>
        <v>343000</v>
      </c>
    </row>
    <row r="20" spans="3:7" ht="14.5" x14ac:dyDescent="0.35">
      <c r="C20" s="2" t="s">
        <v>9</v>
      </c>
      <c r="D20" s="3" t="s">
        <v>7</v>
      </c>
      <c r="E20" s="4">
        <v>104000</v>
      </c>
      <c r="F20" s="4"/>
      <c r="G20" s="4">
        <f t="shared" si="0"/>
        <v>447000</v>
      </c>
    </row>
    <row r="21" spans="3:7" ht="15.75" customHeight="1" x14ac:dyDescent="0.35">
      <c r="C21" s="5">
        <v>44939</v>
      </c>
      <c r="D21" s="6" t="s">
        <v>10</v>
      </c>
      <c r="E21" s="7"/>
      <c r="F21" s="7">
        <v>36000</v>
      </c>
      <c r="G21" s="7">
        <f t="shared" ref="G21:G23" si="1">G20-F21</f>
        <v>411000</v>
      </c>
    </row>
    <row r="22" spans="3:7" ht="15.75" customHeight="1" x14ac:dyDescent="0.35">
      <c r="C22" s="5">
        <v>44948</v>
      </c>
      <c r="D22" s="6" t="s">
        <v>11</v>
      </c>
      <c r="E22" s="7"/>
      <c r="F22" s="7">
        <v>8000</v>
      </c>
      <c r="G22" s="7">
        <f t="shared" si="1"/>
        <v>403000</v>
      </c>
    </row>
    <row r="23" spans="3:7" ht="15.75" customHeight="1" x14ac:dyDescent="0.35">
      <c r="C23" s="5">
        <v>44948</v>
      </c>
      <c r="D23" s="6" t="s">
        <v>12</v>
      </c>
      <c r="E23" s="7"/>
      <c r="F23" s="7">
        <v>14000</v>
      </c>
      <c r="G23" s="7">
        <f t="shared" si="1"/>
        <v>389000</v>
      </c>
    </row>
    <row r="24" spans="3:7" ht="15.75" customHeight="1" x14ac:dyDescent="0.35">
      <c r="C24" s="2" t="s">
        <v>13</v>
      </c>
      <c r="D24" s="3" t="s">
        <v>7</v>
      </c>
      <c r="E24" s="4">
        <v>104000</v>
      </c>
      <c r="F24" s="4"/>
      <c r="G24" s="4">
        <f>SUM(G23,E24)</f>
        <v>493000</v>
      </c>
    </row>
    <row r="25" spans="3:7" ht="15.75" customHeight="1" x14ac:dyDescent="0.35">
      <c r="C25" s="5">
        <v>44969</v>
      </c>
      <c r="D25" s="6" t="s">
        <v>14</v>
      </c>
      <c r="E25" s="7"/>
      <c r="F25" s="7">
        <v>70000</v>
      </c>
      <c r="G25" s="7">
        <f>G24-F25</f>
        <v>423000</v>
      </c>
    </row>
    <row r="26" spans="3:7" ht="15.75" customHeight="1" x14ac:dyDescent="0.35">
      <c r="C26" s="2" t="s">
        <v>15</v>
      </c>
      <c r="D26" s="3" t="s">
        <v>7</v>
      </c>
      <c r="E26" s="4">
        <v>104000</v>
      </c>
      <c r="F26" s="4"/>
      <c r="G26" s="4">
        <f>SUM(G25,E26)</f>
        <v>527000</v>
      </c>
    </row>
    <row r="27" spans="3:7" ht="15.75" customHeight="1" x14ac:dyDescent="0.35">
      <c r="C27" s="5">
        <v>44993</v>
      </c>
      <c r="D27" s="6" t="s">
        <v>16</v>
      </c>
      <c r="E27" s="7"/>
      <c r="F27" s="7">
        <v>80000</v>
      </c>
      <c r="G27" s="7">
        <f>G26-F27</f>
        <v>447000</v>
      </c>
    </row>
    <row r="28" spans="3:7" ht="15.75" customHeight="1" x14ac:dyDescent="0.35">
      <c r="C28" s="5">
        <v>45000</v>
      </c>
      <c r="D28" s="6" t="s">
        <v>17</v>
      </c>
      <c r="E28" s="7">
        <v>130000</v>
      </c>
      <c r="F28" s="7"/>
      <c r="G28" s="7">
        <f t="shared" ref="G28:G31" si="2">SUM(G27,E28)</f>
        <v>577000</v>
      </c>
    </row>
    <row r="29" spans="3:7" ht="15.75" customHeight="1" x14ac:dyDescent="0.35">
      <c r="C29" s="2" t="s">
        <v>18</v>
      </c>
      <c r="D29" s="3" t="s">
        <v>7</v>
      </c>
      <c r="E29" s="4">
        <v>104000</v>
      </c>
      <c r="F29" s="4"/>
      <c r="G29" s="4">
        <f t="shared" si="2"/>
        <v>681000</v>
      </c>
    </row>
    <row r="30" spans="3:7" ht="15.75" customHeight="1" x14ac:dyDescent="0.35">
      <c r="C30" s="2" t="s">
        <v>19</v>
      </c>
      <c r="D30" s="3" t="s">
        <v>7</v>
      </c>
      <c r="E30" s="4">
        <v>104000</v>
      </c>
      <c r="F30" s="4"/>
      <c r="G30" s="4">
        <f t="shared" si="2"/>
        <v>785000</v>
      </c>
    </row>
    <row r="31" spans="3:7" ht="15.75" customHeight="1" x14ac:dyDescent="0.35">
      <c r="C31" s="2" t="s">
        <v>20</v>
      </c>
      <c r="D31" s="3" t="s">
        <v>7</v>
      </c>
      <c r="E31" s="4">
        <v>104000</v>
      </c>
      <c r="F31" s="4"/>
      <c r="G31" s="4">
        <f t="shared" si="2"/>
        <v>889000</v>
      </c>
    </row>
    <row r="32" spans="3:7" ht="15.75" customHeight="1" x14ac:dyDescent="0.35">
      <c r="C32" s="5">
        <v>45093</v>
      </c>
      <c r="D32" s="6" t="s">
        <v>21</v>
      </c>
      <c r="E32" s="7"/>
      <c r="F32" s="7">
        <v>40000</v>
      </c>
      <c r="G32" s="7">
        <f t="shared" ref="G32:G38" si="3">G31-F32</f>
        <v>849000</v>
      </c>
    </row>
    <row r="33" spans="3:7" ht="15.75" customHeight="1" x14ac:dyDescent="0.35">
      <c r="C33" s="8">
        <v>45093</v>
      </c>
      <c r="D33" s="6" t="s">
        <v>22</v>
      </c>
      <c r="E33" s="7"/>
      <c r="F33" s="7">
        <v>15000</v>
      </c>
      <c r="G33" s="7">
        <f t="shared" si="3"/>
        <v>834000</v>
      </c>
    </row>
    <row r="34" spans="3:7" ht="15.75" customHeight="1" x14ac:dyDescent="0.35">
      <c r="C34" s="8">
        <v>45093</v>
      </c>
      <c r="D34" s="6" t="s">
        <v>23</v>
      </c>
      <c r="E34" s="7"/>
      <c r="F34" s="7">
        <v>32000</v>
      </c>
      <c r="G34" s="7">
        <f t="shared" si="3"/>
        <v>802000</v>
      </c>
    </row>
    <row r="35" spans="3:7" ht="15.75" customHeight="1" x14ac:dyDescent="0.35">
      <c r="C35" s="8">
        <v>45093</v>
      </c>
      <c r="D35" s="6" t="s">
        <v>24</v>
      </c>
      <c r="E35" s="7"/>
      <c r="F35" s="7">
        <v>15000</v>
      </c>
      <c r="G35" s="7">
        <f t="shared" si="3"/>
        <v>787000</v>
      </c>
    </row>
    <row r="36" spans="3:7" ht="15.75" customHeight="1" x14ac:dyDescent="0.35">
      <c r="C36" s="8">
        <v>45093</v>
      </c>
      <c r="D36" s="6" t="s">
        <v>25</v>
      </c>
      <c r="E36" s="7"/>
      <c r="F36" s="7">
        <v>250000</v>
      </c>
      <c r="G36" s="7">
        <f t="shared" si="3"/>
        <v>537000</v>
      </c>
    </row>
    <row r="37" spans="3:7" ht="15.75" customHeight="1" x14ac:dyDescent="0.35">
      <c r="C37" s="8">
        <v>45093</v>
      </c>
      <c r="D37" s="6" t="s">
        <v>26</v>
      </c>
      <c r="E37" s="7"/>
      <c r="F37" s="7">
        <v>250000</v>
      </c>
      <c r="G37" s="7">
        <f t="shared" si="3"/>
        <v>287000</v>
      </c>
    </row>
    <row r="38" spans="3:7" ht="15.75" customHeight="1" x14ac:dyDescent="0.35">
      <c r="C38" s="8">
        <v>45093</v>
      </c>
      <c r="D38" s="6" t="s">
        <v>27</v>
      </c>
      <c r="E38" s="7"/>
      <c r="F38" s="7">
        <v>9000</v>
      </c>
      <c r="G38" s="7">
        <f t="shared" si="3"/>
        <v>278000</v>
      </c>
    </row>
    <row r="39" spans="3:7" ht="15.75" customHeight="1" x14ac:dyDescent="0.35">
      <c r="C39" s="2" t="s">
        <v>28</v>
      </c>
      <c r="D39" s="3" t="s">
        <v>7</v>
      </c>
      <c r="E39" s="4">
        <v>104000</v>
      </c>
      <c r="F39" s="4"/>
      <c r="G39" s="4">
        <f t="shared" ref="G39:G41" si="4">SUM(G38,E39)</f>
        <v>382000</v>
      </c>
    </row>
    <row r="40" spans="3:7" ht="15.75" customHeight="1" x14ac:dyDescent="0.35">
      <c r="C40" s="2" t="s">
        <v>29</v>
      </c>
      <c r="D40" s="3" t="s">
        <v>7</v>
      </c>
      <c r="E40" s="9">
        <v>104000</v>
      </c>
      <c r="F40" s="4"/>
      <c r="G40" s="4">
        <f t="shared" si="4"/>
        <v>486000</v>
      </c>
    </row>
    <row r="41" spans="3:7" ht="15.75" customHeight="1" x14ac:dyDescent="0.35">
      <c r="C41" s="5">
        <v>45151</v>
      </c>
      <c r="D41" s="6" t="s">
        <v>30</v>
      </c>
      <c r="E41" s="7">
        <v>100000</v>
      </c>
      <c r="F41" s="7"/>
      <c r="G41" s="7">
        <f t="shared" si="4"/>
        <v>586000</v>
      </c>
    </row>
    <row r="42" spans="3:7" ht="15.75" customHeight="1" x14ac:dyDescent="0.35">
      <c r="C42" s="5">
        <v>45151</v>
      </c>
      <c r="D42" s="6" t="s">
        <v>31</v>
      </c>
      <c r="E42" s="7"/>
      <c r="F42" s="7">
        <v>80000</v>
      </c>
      <c r="G42" s="7">
        <f>G41-F42</f>
        <v>506000</v>
      </c>
    </row>
    <row r="43" spans="3:7" ht="15.75" customHeight="1" x14ac:dyDescent="0.35">
      <c r="C43" s="2" t="s">
        <v>32</v>
      </c>
      <c r="D43" s="3" t="s">
        <v>7</v>
      </c>
      <c r="E43" s="4">
        <v>104000</v>
      </c>
      <c r="F43" s="4"/>
      <c r="G43" s="4">
        <f t="shared" ref="G43:G44" si="5">SUM(G42,E43)</f>
        <v>610000</v>
      </c>
    </row>
    <row r="44" spans="3:7" ht="15.75" customHeight="1" x14ac:dyDescent="0.35">
      <c r="C44" s="2" t="s">
        <v>33</v>
      </c>
      <c r="D44" s="3" t="s">
        <v>7</v>
      </c>
      <c r="E44" s="4">
        <v>104000</v>
      </c>
      <c r="F44" s="4"/>
      <c r="G44" s="4">
        <f t="shared" si="5"/>
        <v>714000</v>
      </c>
    </row>
    <row r="45" spans="3:7" ht="15.75" customHeight="1" x14ac:dyDescent="0.35">
      <c r="C45" s="5">
        <v>45217</v>
      </c>
      <c r="D45" s="6" t="s">
        <v>34</v>
      </c>
      <c r="E45" s="7"/>
      <c r="F45" s="7">
        <v>154000</v>
      </c>
      <c r="G45" s="7">
        <f t="shared" ref="G45:G49" si="6">G44-F45</f>
        <v>560000</v>
      </c>
    </row>
    <row r="46" spans="3:7" ht="15.75" customHeight="1" x14ac:dyDescent="0.35">
      <c r="C46" s="5">
        <v>45217</v>
      </c>
      <c r="D46" s="6" t="s">
        <v>35</v>
      </c>
      <c r="E46" s="7"/>
      <c r="F46" s="7">
        <v>46000</v>
      </c>
      <c r="G46" s="7">
        <f t="shared" si="6"/>
        <v>514000</v>
      </c>
    </row>
    <row r="47" spans="3:7" ht="15.75" customHeight="1" x14ac:dyDescent="0.35">
      <c r="C47" s="5">
        <v>45217</v>
      </c>
      <c r="D47" s="6" t="s">
        <v>36</v>
      </c>
      <c r="E47" s="7"/>
      <c r="F47" s="7">
        <v>52500</v>
      </c>
      <c r="G47" s="7">
        <f t="shared" si="6"/>
        <v>461500</v>
      </c>
    </row>
    <row r="48" spans="3:7" ht="15.75" customHeight="1" x14ac:dyDescent="0.35">
      <c r="C48" s="5">
        <v>45219</v>
      </c>
      <c r="D48" s="6" t="s">
        <v>37</v>
      </c>
      <c r="E48" s="7"/>
      <c r="F48" s="7">
        <v>110000</v>
      </c>
      <c r="G48" s="7">
        <f t="shared" si="6"/>
        <v>351500</v>
      </c>
    </row>
    <row r="49" spans="3:7" ht="15.75" customHeight="1" x14ac:dyDescent="0.35">
      <c r="C49" s="5">
        <v>45224</v>
      </c>
      <c r="D49" s="6" t="s">
        <v>36</v>
      </c>
      <c r="E49" s="7"/>
      <c r="F49" s="7">
        <v>57000</v>
      </c>
      <c r="G49" s="7">
        <f t="shared" si="6"/>
        <v>294500</v>
      </c>
    </row>
    <row r="50" spans="3:7" ht="15.75" customHeight="1" x14ac:dyDescent="0.35">
      <c r="C50" s="2" t="s">
        <v>38</v>
      </c>
      <c r="D50" s="3" t="s">
        <v>7</v>
      </c>
      <c r="E50" s="4">
        <v>104000</v>
      </c>
      <c r="F50" s="4"/>
      <c r="G50" s="4">
        <f>SUM(G49,E50)</f>
        <v>398500</v>
      </c>
    </row>
    <row r="51" spans="3:7" ht="15.75" customHeight="1" x14ac:dyDescent="0.35">
      <c r="C51" s="5">
        <v>45240</v>
      </c>
      <c r="D51" s="6" t="s">
        <v>39</v>
      </c>
      <c r="E51" s="7"/>
      <c r="F51" s="7">
        <v>60500</v>
      </c>
      <c r="G51" s="7">
        <f>G50-F51</f>
        <v>338000</v>
      </c>
    </row>
    <row r="52" spans="3:7" ht="15.75" customHeight="1" x14ac:dyDescent="0.35">
      <c r="C52" s="2" t="s">
        <v>40</v>
      </c>
      <c r="D52" s="3" t="s">
        <v>7</v>
      </c>
      <c r="E52" s="4">
        <v>104000</v>
      </c>
      <c r="F52" s="4"/>
      <c r="G52" s="4">
        <f t="shared" ref="G52:G53" si="7">SUM(G51,E52)</f>
        <v>442000</v>
      </c>
    </row>
    <row r="53" spans="3:7" ht="15.75" customHeight="1" x14ac:dyDescent="0.35">
      <c r="C53" s="2" t="s">
        <v>41</v>
      </c>
      <c r="D53" s="3" t="s">
        <v>7</v>
      </c>
      <c r="E53" s="4">
        <v>104000</v>
      </c>
      <c r="F53" s="4"/>
      <c r="G53" s="4">
        <f t="shared" si="7"/>
        <v>546000</v>
      </c>
    </row>
    <row r="54" spans="3:7" ht="15.75" customHeight="1" x14ac:dyDescent="0.35">
      <c r="C54" s="5">
        <v>45295</v>
      </c>
      <c r="D54" s="6" t="s">
        <v>42</v>
      </c>
      <c r="E54" s="7"/>
      <c r="F54" s="7">
        <v>50000</v>
      </c>
      <c r="G54" s="7">
        <f>G53-F54</f>
        <v>496000</v>
      </c>
    </row>
    <row r="55" spans="3:7" ht="15.75" customHeight="1" x14ac:dyDescent="0.35">
      <c r="C55" s="2" t="s">
        <v>43</v>
      </c>
      <c r="D55" s="3" t="s">
        <v>7</v>
      </c>
      <c r="E55" s="4">
        <v>104000</v>
      </c>
      <c r="F55" s="4"/>
      <c r="G55" s="4">
        <f>SUM(G54,E55)</f>
        <v>600000</v>
      </c>
    </row>
    <row r="56" spans="3:7" ht="15.75" customHeight="1" x14ac:dyDescent="0.35">
      <c r="C56" s="5">
        <v>45323</v>
      </c>
      <c r="D56" s="6" t="s">
        <v>44</v>
      </c>
      <c r="E56" s="7"/>
      <c r="F56" s="7">
        <v>120000</v>
      </c>
      <c r="G56" s="7">
        <f t="shared" ref="G56:G60" si="8">G55-F56</f>
        <v>480000</v>
      </c>
    </row>
    <row r="57" spans="3:7" ht="15.75" customHeight="1" x14ac:dyDescent="0.35">
      <c r="C57" s="5">
        <v>45325</v>
      </c>
      <c r="D57" s="6" t="s">
        <v>45</v>
      </c>
      <c r="E57" s="7"/>
      <c r="F57" s="7">
        <v>10000</v>
      </c>
      <c r="G57" s="7">
        <f t="shared" si="8"/>
        <v>470000</v>
      </c>
    </row>
    <row r="58" spans="3:7" ht="15.75" customHeight="1" x14ac:dyDescent="0.35">
      <c r="C58" s="5">
        <v>45326</v>
      </c>
      <c r="D58" s="6" t="s">
        <v>46</v>
      </c>
      <c r="E58" s="7"/>
      <c r="F58" s="7">
        <v>15000</v>
      </c>
      <c r="G58" s="7">
        <f t="shared" si="8"/>
        <v>455000</v>
      </c>
    </row>
    <row r="59" spans="3:7" ht="15.75" customHeight="1" x14ac:dyDescent="0.35">
      <c r="C59" s="5">
        <v>45326</v>
      </c>
      <c r="D59" s="10" t="s">
        <v>47</v>
      </c>
      <c r="E59" s="11"/>
      <c r="F59" s="11">
        <v>20000</v>
      </c>
      <c r="G59" s="7">
        <f t="shared" si="8"/>
        <v>435000</v>
      </c>
    </row>
    <row r="60" spans="3:7" ht="15.75" customHeight="1" x14ac:dyDescent="0.35">
      <c r="C60" s="5">
        <v>45327</v>
      </c>
      <c r="D60" s="6" t="s">
        <v>48</v>
      </c>
      <c r="E60" s="7"/>
      <c r="F60" s="7">
        <v>5000</v>
      </c>
      <c r="G60" s="7">
        <f t="shared" si="8"/>
        <v>430000</v>
      </c>
    </row>
    <row r="61" spans="3:7" ht="15.75" customHeight="1" x14ac:dyDescent="0.35">
      <c r="C61" s="5">
        <v>45346</v>
      </c>
      <c r="D61" s="6" t="s">
        <v>49</v>
      </c>
      <c r="E61" s="7">
        <v>20000</v>
      </c>
      <c r="F61" s="7"/>
      <c r="G61" s="7">
        <f>SUM(G60,E61)</f>
        <v>450000</v>
      </c>
    </row>
    <row r="62" spans="3:7" ht="15.75" customHeight="1" x14ac:dyDescent="0.35">
      <c r="C62" s="5">
        <v>45346</v>
      </c>
      <c r="D62" s="6" t="s">
        <v>50</v>
      </c>
      <c r="E62" s="7"/>
      <c r="F62" s="7">
        <v>20000</v>
      </c>
      <c r="G62" s="7">
        <f t="shared" ref="G62:G65" si="9">G61-F62</f>
        <v>430000</v>
      </c>
    </row>
    <row r="63" spans="3:7" ht="15.75" customHeight="1" x14ac:dyDescent="0.35">
      <c r="C63" s="5">
        <v>45346</v>
      </c>
      <c r="D63" s="6" t="s">
        <v>51</v>
      </c>
      <c r="E63" s="7"/>
      <c r="F63" s="7">
        <v>100000</v>
      </c>
      <c r="G63" s="7">
        <f t="shared" si="9"/>
        <v>330000</v>
      </c>
    </row>
    <row r="64" spans="3:7" ht="15.75" customHeight="1" x14ac:dyDescent="0.35">
      <c r="C64" s="5">
        <v>45346</v>
      </c>
      <c r="D64" s="6" t="s">
        <v>52</v>
      </c>
      <c r="E64" s="7"/>
      <c r="F64" s="7">
        <v>40000</v>
      </c>
      <c r="G64" s="7">
        <f t="shared" si="9"/>
        <v>290000</v>
      </c>
    </row>
    <row r="65" spans="3:7" ht="15.75" customHeight="1" x14ac:dyDescent="0.35">
      <c r="C65" s="5">
        <v>45346</v>
      </c>
      <c r="D65" s="6" t="s">
        <v>53</v>
      </c>
      <c r="E65" s="7"/>
      <c r="F65" s="7">
        <v>40000</v>
      </c>
      <c r="G65" s="7">
        <f t="shared" si="9"/>
        <v>250000</v>
      </c>
    </row>
    <row r="66" spans="3:7" ht="15.75" customHeight="1" x14ac:dyDescent="0.35">
      <c r="C66" s="2" t="s">
        <v>54</v>
      </c>
      <c r="D66" s="3" t="s">
        <v>7</v>
      </c>
      <c r="E66" s="4">
        <v>104000</v>
      </c>
      <c r="F66" s="4"/>
      <c r="G66" s="4">
        <f>SUM(G65,E66)</f>
        <v>354000</v>
      </c>
    </row>
    <row r="67" spans="3:7" ht="15.75" customHeight="1" x14ac:dyDescent="0.35">
      <c r="C67" s="5">
        <v>45374</v>
      </c>
      <c r="D67" s="6" t="s">
        <v>55</v>
      </c>
      <c r="E67" s="7"/>
      <c r="F67" s="7">
        <v>66000</v>
      </c>
      <c r="G67" s="7">
        <f t="shared" ref="G67:G72" si="10">G66-F67</f>
        <v>288000</v>
      </c>
    </row>
    <row r="68" spans="3:7" ht="15.75" customHeight="1" x14ac:dyDescent="0.35">
      <c r="C68" s="5">
        <v>45374</v>
      </c>
      <c r="D68" s="6" t="s">
        <v>56</v>
      </c>
      <c r="E68" s="7"/>
      <c r="F68" s="7">
        <v>54000</v>
      </c>
      <c r="G68" s="7">
        <f t="shared" si="10"/>
        <v>234000</v>
      </c>
    </row>
    <row r="69" spans="3:7" ht="15.75" customHeight="1" x14ac:dyDescent="0.35">
      <c r="C69" s="5">
        <v>45374</v>
      </c>
      <c r="D69" s="6" t="s">
        <v>57</v>
      </c>
      <c r="E69" s="7"/>
      <c r="F69" s="7">
        <v>18000</v>
      </c>
      <c r="G69" s="7">
        <f t="shared" si="10"/>
        <v>216000</v>
      </c>
    </row>
    <row r="70" spans="3:7" ht="15.75" customHeight="1" x14ac:dyDescent="0.35">
      <c r="C70" s="5">
        <v>45374</v>
      </c>
      <c r="D70" s="6" t="s">
        <v>58</v>
      </c>
      <c r="E70" s="7"/>
      <c r="F70" s="7">
        <v>8000</v>
      </c>
      <c r="G70" s="7">
        <f t="shared" si="10"/>
        <v>208000</v>
      </c>
    </row>
    <row r="71" spans="3:7" ht="15.75" customHeight="1" x14ac:dyDescent="0.35">
      <c r="C71" s="5">
        <v>45374</v>
      </c>
      <c r="D71" s="6" t="s">
        <v>59</v>
      </c>
      <c r="E71" s="7"/>
      <c r="F71" s="7">
        <v>10000</v>
      </c>
      <c r="G71" s="7">
        <f t="shared" si="10"/>
        <v>198000</v>
      </c>
    </row>
    <row r="72" spans="3:7" ht="15.75" customHeight="1" x14ac:dyDescent="0.35">
      <c r="C72" s="5">
        <v>45374</v>
      </c>
      <c r="D72" s="6" t="s">
        <v>60</v>
      </c>
      <c r="E72" s="7"/>
      <c r="F72" s="7">
        <v>5000</v>
      </c>
      <c r="G72" s="7">
        <f t="shared" si="10"/>
        <v>193000</v>
      </c>
    </row>
    <row r="73" spans="3:7" ht="15.75" customHeight="1" x14ac:dyDescent="0.35">
      <c r="C73" s="2" t="s">
        <v>61</v>
      </c>
      <c r="D73" s="3" t="s">
        <v>7</v>
      </c>
      <c r="E73" s="4">
        <v>104000</v>
      </c>
      <c r="F73" s="4"/>
      <c r="G73" s="4">
        <f>SUM(G72,E73)</f>
        <v>297000</v>
      </c>
    </row>
    <row r="74" spans="3:7" ht="15.75" customHeight="1" x14ac:dyDescent="0.35">
      <c r="C74" s="5">
        <v>45404</v>
      </c>
      <c r="D74" s="6" t="s">
        <v>42</v>
      </c>
      <c r="E74" s="7"/>
      <c r="F74" s="7">
        <v>50000</v>
      </c>
      <c r="G74" s="7">
        <f>G73-F74</f>
        <v>247000</v>
      </c>
    </row>
    <row r="75" spans="3:7" ht="15.75" customHeight="1" x14ac:dyDescent="0.35">
      <c r="C75" s="2" t="s">
        <v>62</v>
      </c>
      <c r="D75" s="3" t="s">
        <v>7</v>
      </c>
      <c r="E75" s="4">
        <v>104000</v>
      </c>
      <c r="F75" s="4"/>
      <c r="G75" s="4">
        <f>SUM(G74,E75)</f>
        <v>351000</v>
      </c>
    </row>
    <row r="76" spans="3:7" ht="15.75" customHeight="1" x14ac:dyDescent="0.35">
      <c r="C76" s="5">
        <v>45416</v>
      </c>
      <c r="D76" s="6" t="s">
        <v>63</v>
      </c>
      <c r="E76" s="7"/>
      <c r="F76" s="7">
        <v>20000</v>
      </c>
      <c r="G76" s="7">
        <f t="shared" ref="G76:G79" si="11">G75-F76</f>
        <v>331000</v>
      </c>
    </row>
    <row r="77" spans="3:7" ht="15.75" customHeight="1" x14ac:dyDescent="0.35">
      <c r="C77" s="5">
        <v>45416</v>
      </c>
      <c r="D77" s="6" t="s">
        <v>52</v>
      </c>
      <c r="E77" s="7"/>
      <c r="F77" s="7">
        <v>40000</v>
      </c>
      <c r="G77" s="7">
        <f t="shared" si="11"/>
        <v>291000</v>
      </c>
    </row>
    <row r="78" spans="3:7" ht="15.75" customHeight="1" x14ac:dyDescent="0.35">
      <c r="C78" s="5">
        <v>45416</v>
      </c>
      <c r="D78" s="6" t="s">
        <v>51</v>
      </c>
      <c r="E78" s="7"/>
      <c r="F78" s="7">
        <v>50000</v>
      </c>
      <c r="G78" s="7">
        <f t="shared" si="11"/>
        <v>241000</v>
      </c>
    </row>
    <row r="79" spans="3:7" ht="15.75" customHeight="1" x14ac:dyDescent="0.35">
      <c r="C79" s="5">
        <v>45422</v>
      </c>
      <c r="D79" s="6" t="s">
        <v>64</v>
      </c>
      <c r="E79" s="7"/>
      <c r="F79" s="7">
        <v>8000</v>
      </c>
      <c r="G79" s="7">
        <f t="shared" si="11"/>
        <v>233000</v>
      </c>
    </row>
    <row r="80" spans="3:7" ht="15.75" customHeight="1" x14ac:dyDescent="0.35">
      <c r="C80" s="2" t="s">
        <v>65</v>
      </c>
      <c r="D80" s="3" t="s">
        <v>7</v>
      </c>
      <c r="E80" s="4">
        <v>104000</v>
      </c>
      <c r="F80" s="4"/>
      <c r="G80" s="4">
        <f>SUM(G79,E80)</f>
        <v>337000</v>
      </c>
    </row>
    <row r="81" spans="3:7" ht="15.75" customHeight="1" x14ac:dyDescent="0.35">
      <c r="C81" s="5">
        <v>45465</v>
      </c>
      <c r="D81" s="6" t="s">
        <v>66</v>
      </c>
      <c r="E81" s="7"/>
      <c r="F81" s="7">
        <v>69000</v>
      </c>
      <c r="G81" s="7">
        <f t="shared" ref="G81:G82" si="12">G80-F81</f>
        <v>268000</v>
      </c>
    </row>
    <row r="82" spans="3:7" ht="15.75" customHeight="1" x14ac:dyDescent="0.35">
      <c r="C82" s="5">
        <v>45465</v>
      </c>
      <c r="D82" s="6" t="s">
        <v>67</v>
      </c>
      <c r="E82" s="7"/>
      <c r="F82" s="7">
        <v>60000</v>
      </c>
      <c r="G82" s="7">
        <f t="shared" si="12"/>
        <v>208000</v>
      </c>
    </row>
    <row r="83" spans="3:7" ht="15.75" customHeight="1" x14ac:dyDescent="0.35">
      <c r="C83" s="2" t="s">
        <v>68</v>
      </c>
      <c r="D83" s="3" t="s">
        <v>7</v>
      </c>
      <c r="E83" s="4">
        <v>104000</v>
      </c>
      <c r="F83" s="4"/>
      <c r="G83" s="4">
        <f>SUM(G82,E83)</f>
        <v>312000</v>
      </c>
    </row>
    <row r="84" spans="3:7" ht="15.75" customHeight="1" x14ac:dyDescent="0.35">
      <c r="C84" s="5">
        <v>45487</v>
      </c>
      <c r="D84" s="6" t="s">
        <v>69</v>
      </c>
      <c r="E84" s="7">
        <v>250000</v>
      </c>
      <c r="F84" s="7"/>
      <c r="G84" s="7">
        <f>SUM(G83,E84)</f>
        <v>562000</v>
      </c>
    </row>
    <row r="85" spans="3:7" ht="15.75" customHeight="1" x14ac:dyDescent="0.35">
      <c r="C85" s="5">
        <v>45487</v>
      </c>
      <c r="D85" s="6" t="s">
        <v>70</v>
      </c>
      <c r="E85" s="7"/>
      <c r="F85" s="7">
        <v>250000</v>
      </c>
      <c r="G85" s="7">
        <f>G84-F85</f>
        <v>312000</v>
      </c>
    </row>
    <row r="86" spans="3:7" ht="15.75" customHeight="1" x14ac:dyDescent="0.35">
      <c r="C86" s="2" t="s">
        <v>71</v>
      </c>
      <c r="D86" s="3" t="s">
        <v>7</v>
      </c>
      <c r="E86" s="4">
        <v>104000</v>
      </c>
      <c r="F86" s="4"/>
      <c r="G86" s="4">
        <f>SUM(G85,E86)</f>
        <v>416000</v>
      </c>
    </row>
    <row r="87" spans="3:7" ht="15.75" customHeight="1" x14ac:dyDescent="0.35">
      <c r="C87" s="5">
        <v>45518</v>
      </c>
      <c r="D87" s="10" t="s">
        <v>72</v>
      </c>
      <c r="E87" s="10"/>
      <c r="F87" s="11">
        <v>250000</v>
      </c>
      <c r="G87" s="11">
        <f>G86-F87</f>
        <v>166000</v>
      </c>
    </row>
    <row r="88" spans="3:7" ht="15.75" customHeight="1" x14ac:dyDescent="0.35">
      <c r="C88" s="28" t="s">
        <v>73</v>
      </c>
      <c r="D88" s="29"/>
      <c r="E88" s="12">
        <f t="shared" ref="E88:F88" si="13">SUM(E7:E87)</f>
        <v>2923000</v>
      </c>
      <c r="F88" s="11">
        <f t="shared" si="13"/>
        <v>2757000</v>
      </c>
      <c r="G88" s="12">
        <f>G87</f>
        <v>166000</v>
      </c>
    </row>
    <row r="89" spans="3:7" ht="15.75" customHeight="1" x14ac:dyDescent="0.3"/>
    <row r="90" spans="3:7" ht="15.75" customHeight="1" x14ac:dyDescent="0.3"/>
    <row r="91" spans="3:7" ht="15.75" customHeight="1" x14ac:dyDescent="0.3"/>
    <row r="92" spans="3:7" ht="15.75" customHeight="1" x14ac:dyDescent="0.3"/>
    <row r="93" spans="3:7" ht="15.75" customHeight="1" x14ac:dyDescent="0.3"/>
    <row r="94" spans="3:7" ht="15.75" customHeight="1" x14ac:dyDescent="0.3"/>
    <row r="95" spans="3:7" ht="15.75" customHeight="1" x14ac:dyDescent="0.3"/>
    <row r="96" spans="3:7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C88:D88"/>
    <mergeCell ref="D3:F4"/>
    <mergeCell ref="C1:G2"/>
  </mergeCells>
  <pageMargins left="0.7" right="0.7" top="0.75" bottom="0.75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N1000"/>
  <sheetViews>
    <sheetView workbookViewId="0"/>
  </sheetViews>
  <sheetFormatPr defaultColWidth="12.6640625" defaultRowHeight="15" customHeight="1" x14ac:dyDescent="0.3"/>
  <cols>
    <col min="1" max="1" width="8" customWidth="1"/>
    <col min="2" max="2" width="20" customWidth="1"/>
    <col min="3" max="3" width="10.9140625" customWidth="1"/>
    <col min="4" max="4" width="11.9140625" customWidth="1"/>
    <col min="5" max="5" width="12.5" customWidth="1"/>
    <col min="6" max="6" width="12.4140625" customWidth="1"/>
    <col min="7" max="7" width="11.1640625" customWidth="1"/>
    <col min="8" max="8" width="10.25" customWidth="1"/>
    <col min="9" max="9" width="11.1640625" customWidth="1"/>
    <col min="10" max="10" width="9.9140625" customWidth="1"/>
    <col min="11" max="11" width="11.4140625" customWidth="1"/>
    <col min="12" max="12" width="10.4140625" customWidth="1"/>
    <col min="13" max="13" width="11.25" customWidth="1"/>
    <col min="14" max="14" width="13.25" customWidth="1"/>
    <col min="15" max="26" width="14.4140625" customWidth="1"/>
  </cols>
  <sheetData>
    <row r="4" spans="1:14" ht="14.5" x14ac:dyDescent="0.3">
      <c r="A4" s="35" t="s">
        <v>83</v>
      </c>
      <c r="B4" s="17" t="s">
        <v>84</v>
      </c>
      <c r="C4" s="37">
        <v>2022</v>
      </c>
      <c r="D4" s="34"/>
      <c r="E4" s="34"/>
      <c r="F4" s="29"/>
      <c r="G4" s="19"/>
      <c r="H4" s="19"/>
      <c r="I4" s="19"/>
      <c r="J4" s="19"/>
      <c r="K4" s="19"/>
      <c r="L4" s="19"/>
      <c r="M4" s="19"/>
      <c r="N4" s="19"/>
    </row>
    <row r="5" spans="1:14" ht="14.5" x14ac:dyDescent="0.3">
      <c r="A5" s="36"/>
      <c r="B5" s="17"/>
      <c r="C5" s="20" t="s">
        <v>85</v>
      </c>
      <c r="D5" s="20" t="s">
        <v>86</v>
      </c>
      <c r="E5" s="18" t="s">
        <v>87</v>
      </c>
      <c r="F5" s="20" t="s">
        <v>88</v>
      </c>
      <c r="G5" s="21"/>
      <c r="H5" s="21"/>
      <c r="I5" s="21"/>
      <c r="J5" s="21"/>
      <c r="K5" s="21"/>
      <c r="L5" s="21"/>
      <c r="M5" s="21"/>
      <c r="N5" s="21"/>
    </row>
    <row r="6" spans="1:14" ht="14.5" x14ac:dyDescent="0.35">
      <c r="A6" s="20" t="s">
        <v>76</v>
      </c>
      <c r="B6" s="6" t="s">
        <v>89</v>
      </c>
      <c r="C6" s="22">
        <v>3000</v>
      </c>
      <c r="D6" s="22">
        <v>4000</v>
      </c>
      <c r="E6" s="22">
        <v>4000</v>
      </c>
      <c r="F6" s="22">
        <v>4000</v>
      </c>
      <c r="G6" s="23"/>
      <c r="H6" s="23"/>
      <c r="I6" s="23"/>
      <c r="J6" s="23"/>
      <c r="K6" s="23"/>
      <c r="L6" s="23"/>
      <c r="M6" s="23"/>
      <c r="N6" s="23"/>
    </row>
    <row r="7" spans="1:14" ht="14.5" x14ac:dyDescent="0.35">
      <c r="A7" s="20" t="s">
        <v>77</v>
      </c>
      <c r="B7" s="6" t="s">
        <v>90</v>
      </c>
      <c r="C7" s="22">
        <v>3000</v>
      </c>
      <c r="D7" s="22">
        <v>4000</v>
      </c>
      <c r="E7" s="22">
        <v>4000</v>
      </c>
      <c r="F7" s="22">
        <v>4000</v>
      </c>
      <c r="G7" s="23"/>
      <c r="H7" s="23"/>
      <c r="I7" s="23"/>
      <c r="J7" s="23"/>
      <c r="K7" s="23"/>
      <c r="L7" s="23"/>
      <c r="M7" s="23"/>
      <c r="N7" s="23"/>
    </row>
    <row r="8" spans="1:14" ht="14.5" x14ac:dyDescent="0.35">
      <c r="A8" s="20" t="s">
        <v>78</v>
      </c>
      <c r="B8" s="6" t="s">
        <v>91</v>
      </c>
      <c r="C8" s="22">
        <v>3000</v>
      </c>
      <c r="D8" s="22">
        <v>4000</v>
      </c>
      <c r="E8" s="22">
        <v>4000</v>
      </c>
      <c r="F8" s="22">
        <v>4000</v>
      </c>
      <c r="G8" s="23"/>
      <c r="H8" s="23"/>
      <c r="I8" s="23"/>
      <c r="J8" s="23"/>
      <c r="K8" s="23"/>
      <c r="L8" s="23"/>
      <c r="M8" s="23"/>
      <c r="N8" s="23"/>
    </row>
    <row r="9" spans="1:14" ht="14.5" x14ac:dyDescent="0.35">
      <c r="A9" s="20" t="s">
        <v>79</v>
      </c>
      <c r="B9" s="6" t="s">
        <v>92</v>
      </c>
      <c r="C9" s="22">
        <v>3000</v>
      </c>
      <c r="D9" s="22">
        <v>3000</v>
      </c>
      <c r="E9" s="22">
        <v>3000</v>
      </c>
      <c r="F9" s="22">
        <v>4000</v>
      </c>
      <c r="G9" s="23"/>
      <c r="H9" s="23"/>
      <c r="I9" s="23"/>
      <c r="J9" s="23"/>
      <c r="K9" s="23"/>
      <c r="L9" s="23"/>
      <c r="M9" s="23"/>
      <c r="N9" s="23"/>
    </row>
    <row r="10" spans="1:14" ht="14.5" x14ac:dyDescent="0.35">
      <c r="A10" s="20" t="s">
        <v>80</v>
      </c>
      <c r="B10" s="6" t="s">
        <v>93</v>
      </c>
      <c r="C10" s="22"/>
      <c r="D10" s="22"/>
      <c r="E10" s="22"/>
      <c r="F10" s="22">
        <v>4000</v>
      </c>
      <c r="G10" s="23"/>
      <c r="H10" s="23"/>
      <c r="I10" s="23"/>
      <c r="J10" s="23"/>
      <c r="K10" s="23"/>
      <c r="L10" s="23"/>
      <c r="M10" s="23"/>
      <c r="N10" s="23"/>
    </row>
    <row r="11" spans="1:14" ht="14.5" x14ac:dyDescent="0.35">
      <c r="A11" s="20" t="s">
        <v>81</v>
      </c>
      <c r="B11" s="6" t="s">
        <v>94</v>
      </c>
      <c r="C11" s="22">
        <v>3000</v>
      </c>
      <c r="D11" s="22">
        <v>4000</v>
      </c>
      <c r="E11" s="22">
        <v>4000</v>
      </c>
      <c r="F11" s="22">
        <v>4000</v>
      </c>
      <c r="G11" s="23"/>
      <c r="H11" s="23"/>
      <c r="I11" s="23"/>
      <c r="J11" s="23"/>
      <c r="K11" s="23"/>
      <c r="L11" s="23"/>
      <c r="M11" s="23"/>
      <c r="N11" s="23"/>
    </row>
    <row r="12" spans="1:14" ht="14.5" x14ac:dyDescent="0.35">
      <c r="A12" s="20" t="s">
        <v>82</v>
      </c>
      <c r="B12" s="6" t="s">
        <v>95</v>
      </c>
      <c r="C12" s="22">
        <v>3000</v>
      </c>
      <c r="D12" s="22">
        <v>4000</v>
      </c>
      <c r="E12" s="22">
        <v>4000</v>
      </c>
      <c r="F12" s="22">
        <v>4000</v>
      </c>
      <c r="G12" s="23"/>
      <c r="H12" s="23"/>
      <c r="I12" s="23"/>
      <c r="J12" s="23"/>
      <c r="K12" s="23"/>
      <c r="L12" s="23"/>
      <c r="M12" s="23"/>
      <c r="N12" s="23"/>
    </row>
    <row r="13" spans="1:14" ht="14.5" x14ac:dyDescent="0.35">
      <c r="A13" s="20" t="s">
        <v>96</v>
      </c>
      <c r="B13" s="6" t="s">
        <v>97</v>
      </c>
      <c r="C13" s="22">
        <v>3000</v>
      </c>
      <c r="D13" s="22">
        <v>4000</v>
      </c>
      <c r="E13" s="22">
        <v>4000</v>
      </c>
      <c r="F13" s="22">
        <v>4000</v>
      </c>
      <c r="G13" s="23"/>
      <c r="H13" s="23"/>
      <c r="I13" s="23"/>
      <c r="J13" s="23"/>
      <c r="K13" s="23"/>
      <c r="L13" s="23"/>
      <c r="M13" s="23"/>
      <c r="N13" s="23"/>
    </row>
    <row r="14" spans="1:14" ht="14.5" x14ac:dyDescent="0.35">
      <c r="A14" s="20" t="s">
        <v>98</v>
      </c>
      <c r="B14" s="6" t="s">
        <v>99</v>
      </c>
      <c r="C14" s="22">
        <v>3000</v>
      </c>
      <c r="D14" s="22">
        <v>4000</v>
      </c>
      <c r="E14" s="22">
        <v>4000</v>
      </c>
      <c r="F14" s="22">
        <v>4000</v>
      </c>
      <c r="G14" s="23"/>
      <c r="H14" s="23"/>
      <c r="I14" s="23"/>
      <c r="J14" s="23"/>
      <c r="K14" s="23"/>
      <c r="L14" s="23"/>
      <c r="M14" s="23"/>
      <c r="N14" s="23"/>
    </row>
    <row r="15" spans="1:14" ht="14.5" x14ac:dyDescent="0.35">
      <c r="A15" s="20" t="s">
        <v>100</v>
      </c>
      <c r="B15" s="6" t="s">
        <v>101</v>
      </c>
      <c r="C15" s="22">
        <v>3000</v>
      </c>
      <c r="D15" s="22">
        <v>4000</v>
      </c>
      <c r="E15" s="22">
        <v>4000</v>
      </c>
      <c r="F15" s="22">
        <v>4000</v>
      </c>
      <c r="G15" s="23"/>
      <c r="H15" s="23"/>
      <c r="I15" s="23"/>
      <c r="J15" s="23"/>
      <c r="K15" s="23"/>
      <c r="L15" s="23"/>
      <c r="M15" s="23"/>
      <c r="N15" s="23"/>
    </row>
    <row r="16" spans="1:14" ht="14.5" x14ac:dyDescent="0.35">
      <c r="A16" s="20" t="s">
        <v>102</v>
      </c>
      <c r="B16" s="6" t="s">
        <v>103</v>
      </c>
      <c r="C16" s="22">
        <v>3000</v>
      </c>
      <c r="D16" s="22">
        <v>3000</v>
      </c>
      <c r="E16" s="22">
        <v>3000</v>
      </c>
      <c r="F16" s="22">
        <v>4000</v>
      </c>
      <c r="G16" s="23"/>
      <c r="H16" s="23"/>
      <c r="I16" s="23"/>
      <c r="J16" s="23"/>
      <c r="K16" s="23"/>
      <c r="L16" s="23"/>
      <c r="M16" s="23"/>
      <c r="N16" s="23"/>
    </row>
    <row r="17" spans="1:14" ht="14.5" x14ac:dyDescent="0.35">
      <c r="A17" s="20" t="s">
        <v>104</v>
      </c>
      <c r="B17" s="6" t="s">
        <v>105</v>
      </c>
      <c r="C17" s="22">
        <v>3000</v>
      </c>
      <c r="D17" s="22">
        <v>3000</v>
      </c>
      <c r="E17" s="22">
        <v>3000</v>
      </c>
      <c r="F17" s="22">
        <v>4000</v>
      </c>
      <c r="G17" s="23"/>
      <c r="H17" s="23"/>
      <c r="I17" s="23"/>
      <c r="J17" s="23"/>
      <c r="K17" s="23"/>
      <c r="L17" s="23"/>
      <c r="M17" s="23"/>
      <c r="N17" s="23"/>
    </row>
    <row r="18" spans="1:14" ht="14.5" x14ac:dyDescent="0.35">
      <c r="A18" s="20" t="s">
        <v>106</v>
      </c>
      <c r="B18" s="6" t="s">
        <v>107</v>
      </c>
      <c r="C18" s="22">
        <v>3000</v>
      </c>
      <c r="D18" s="22">
        <v>4000</v>
      </c>
      <c r="E18" s="22">
        <v>4000</v>
      </c>
      <c r="F18" s="22">
        <v>4000</v>
      </c>
      <c r="G18" s="23"/>
      <c r="H18" s="23"/>
      <c r="I18" s="23"/>
      <c r="J18" s="23"/>
      <c r="K18" s="23"/>
      <c r="L18" s="23"/>
      <c r="M18" s="23"/>
      <c r="N18" s="23"/>
    </row>
    <row r="19" spans="1:14" ht="14.5" x14ac:dyDescent="0.35">
      <c r="A19" s="20" t="s">
        <v>108</v>
      </c>
      <c r="B19" s="6" t="s">
        <v>109</v>
      </c>
      <c r="C19" s="22">
        <v>3000</v>
      </c>
      <c r="D19" s="22">
        <v>3000</v>
      </c>
      <c r="E19" s="22">
        <v>4000</v>
      </c>
      <c r="F19" s="22">
        <v>4000</v>
      </c>
      <c r="G19" s="23"/>
      <c r="H19" s="23"/>
      <c r="I19" s="23"/>
      <c r="J19" s="23"/>
      <c r="K19" s="23"/>
      <c r="L19" s="23"/>
      <c r="M19" s="23"/>
      <c r="N19" s="23"/>
    </row>
    <row r="20" spans="1:14" ht="14.5" x14ac:dyDescent="0.35">
      <c r="A20" s="20" t="s">
        <v>110</v>
      </c>
      <c r="B20" s="6" t="s">
        <v>111</v>
      </c>
      <c r="C20" s="22">
        <v>3000</v>
      </c>
      <c r="D20" s="22">
        <v>3000</v>
      </c>
      <c r="E20" s="22">
        <v>4000</v>
      </c>
      <c r="F20" s="22">
        <v>4000</v>
      </c>
      <c r="G20" s="23"/>
      <c r="H20" s="23"/>
      <c r="I20" s="23"/>
      <c r="J20" s="23"/>
      <c r="K20" s="23"/>
      <c r="L20" s="23"/>
      <c r="M20" s="23"/>
      <c r="N20" s="23"/>
    </row>
    <row r="21" spans="1:14" ht="15.75" customHeight="1" x14ac:dyDescent="0.35">
      <c r="A21" s="20" t="s">
        <v>112</v>
      </c>
      <c r="B21" s="6" t="s">
        <v>113</v>
      </c>
      <c r="C21" s="22">
        <v>2000</v>
      </c>
      <c r="D21" s="22">
        <v>3000</v>
      </c>
      <c r="E21" s="22">
        <v>3000</v>
      </c>
      <c r="F21" s="22">
        <v>4000</v>
      </c>
      <c r="G21" s="23"/>
      <c r="H21" s="23"/>
      <c r="I21" s="23"/>
      <c r="J21" s="23"/>
      <c r="K21" s="23"/>
      <c r="L21" s="23"/>
      <c r="M21" s="23"/>
      <c r="N21" s="23"/>
    </row>
    <row r="22" spans="1:14" ht="15.75" customHeight="1" x14ac:dyDescent="0.35">
      <c r="A22" s="20" t="s">
        <v>114</v>
      </c>
      <c r="B22" s="6" t="s">
        <v>115</v>
      </c>
      <c r="C22" s="22">
        <v>3000</v>
      </c>
      <c r="D22" s="22">
        <v>4000</v>
      </c>
      <c r="E22" s="22">
        <v>4000</v>
      </c>
      <c r="F22" s="22">
        <v>4000</v>
      </c>
      <c r="G22" s="23"/>
      <c r="H22" s="23"/>
      <c r="I22" s="23"/>
      <c r="J22" s="23"/>
      <c r="K22" s="23"/>
      <c r="L22" s="23"/>
      <c r="M22" s="23"/>
      <c r="N22" s="23"/>
    </row>
    <row r="23" spans="1:14" ht="15.75" customHeight="1" x14ac:dyDescent="0.35">
      <c r="A23" s="20" t="s">
        <v>116</v>
      </c>
      <c r="B23" s="6" t="s">
        <v>117</v>
      </c>
      <c r="C23" s="22">
        <v>2000</v>
      </c>
      <c r="D23" s="22">
        <v>2000</v>
      </c>
      <c r="E23" s="22">
        <v>3000</v>
      </c>
      <c r="F23" s="22">
        <v>4000</v>
      </c>
      <c r="G23" s="23"/>
      <c r="H23" s="23"/>
      <c r="I23" s="23"/>
      <c r="J23" s="23"/>
      <c r="K23" s="23"/>
      <c r="L23" s="23"/>
      <c r="M23" s="23"/>
      <c r="N23" s="23"/>
    </row>
    <row r="24" spans="1:14" ht="15.75" customHeight="1" x14ac:dyDescent="0.35">
      <c r="A24" s="20" t="s">
        <v>118</v>
      </c>
      <c r="B24" s="6" t="s">
        <v>119</v>
      </c>
      <c r="C24" s="22">
        <v>3000</v>
      </c>
      <c r="D24" s="22">
        <v>3000</v>
      </c>
      <c r="E24" s="22">
        <v>4000</v>
      </c>
      <c r="F24" s="22">
        <v>4000</v>
      </c>
      <c r="G24" s="23"/>
      <c r="H24" s="23"/>
      <c r="I24" s="23"/>
      <c r="J24" s="23"/>
      <c r="K24" s="23"/>
      <c r="L24" s="23"/>
      <c r="M24" s="23"/>
      <c r="N24" s="23"/>
    </row>
    <row r="25" spans="1:14" ht="15.75" customHeight="1" x14ac:dyDescent="0.35">
      <c r="A25" s="20" t="s">
        <v>120</v>
      </c>
      <c r="B25" s="6" t="s">
        <v>121</v>
      </c>
      <c r="C25" s="22">
        <v>3000</v>
      </c>
      <c r="D25" s="22">
        <v>4000</v>
      </c>
      <c r="E25" s="22">
        <v>4000</v>
      </c>
      <c r="F25" s="22">
        <v>4000</v>
      </c>
      <c r="G25" s="23"/>
      <c r="H25" s="23"/>
      <c r="I25" s="23"/>
      <c r="J25" s="23"/>
      <c r="K25" s="23"/>
      <c r="L25" s="23"/>
      <c r="M25" s="23"/>
      <c r="N25" s="23"/>
    </row>
    <row r="26" spans="1:14" ht="15.75" customHeight="1" x14ac:dyDescent="0.35">
      <c r="A26" s="20" t="s">
        <v>122</v>
      </c>
      <c r="B26" s="6" t="s">
        <v>123</v>
      </c>
      <c r="C26" s="22">
        <v>3000</v>
      </c>
      <c r="D26" s="22">
        <v>3000</v>
      </c>
      <c r="E26" s="22">
        <v>3000</v>
      </c>
      <c r="F26" s="22">
        <v>4000</v>
      </c>
      <c r="G26" s="23"/>
      <c r="H26" s="23"/>
      <c r="I26" s="23"/>
      <c r="J26" s="23"/>
      <c r="K26" s="23"/>
      <c r="L26" s="23"/>
      <c r="M26" s="23"/>
      <c r="N26" s="23"/>
    </row>
    <row r="27" spans="1:14" ht="15.75" customHeight="1" x14ac:dyDescent="0.35">
      <c r="A27" s="20" t="s">
        <v>124</v>
      </c>
      <c r="B27" s="6" t="s">
        <v>125</v>
      </c>
      <c r="C27" s="22">
        <v>2000</v>
      </c>
      <c r="D27" s="22">
        <v>2000</v>
      </c>
      <c r="E27" s="22">
        <v>3000</v>
      </c>
      <c r="F27" s="22">
        <v>4000</v>
      </c>
      <c r="G27" s="23"/>
      <c r="H27" s="23"/>
      <c r="I27" s="23"/>
      <c r="J27" s="23"/>
      <c r="K27" s="23"/>
      <c r="L27" s="23"/>
      <c r="M27" s="23"/>
      <c r="N27" s="23"/>
    </row>
    <row r="28" spans="1:14" ht="15.75" customHeight="1" x14ac:dyDescent="0.35">
      <c r="A28" s="20" t="s">
        <v>126</v>
      </c>
      <c r="B28" s="6" t="s">
        <v>127</v>
      </c>
      <c r="C28" s="22">
        <v>3000</v>
      </c>
      <c r="D28" s="22">
        <v>3000</v>
      </c>
      <c r="E28" s="22">
        <v>4000</v>
      </c>
      <c r="F28" s="22">
        <v>4000</v>
      </c>
      <c r="G28" s="23"/>
      <c r="H28" s="23"/>
      <c r="I28" s="23"/>
      <c r="J28" s="23"/>
      <c r="K28" s="23"/>
      <c r="L28" s="23"/>
      <c r="M28" s="23"/>
      <c r="N28" s="23"/>
    </row>
    <row r="29" spans="1:14" ht="15.75" customHeight="1" x14ac:dyDescent="0.35">
      <c r="A29" s="20" t="s">
        <v>128</v>
      </c>
      <c r="B29" s="6" t="s">
        <v>129</v>
      </c>
      <c r="C29" s="22">
        <v>3000</v>
      </c>
      <c r="D29" s="22">
        <v>3000</v>
      </c>
      <c r="E29" s="22">
        <v>4000</v>
      </c>
      <c r="F29" s="22">
        <v>4000</v>
      </c>
      <c r="G29" s="23"/>
      <c r="H29" s="23"/>
      <c r="I29" s="23"/>
      <c r="J29" s="23"/>
      <c r="K29" s="23"/>
      <c r="L29" s="23"/>
      <c r="M29" s="23"/>
      <c r="N29" s="23"/>
    </row>
    <row r="30" spans="1:14" ht="15.75" customHeight="1" x14ac:dyDescent="0.35">
      <c r="A30" s="20" t="s">
        <v>130</v>
      </c>
      <c r="B30" s="6" t="s">
        <v>131</v>
      </c>
      <c r="C30" s="22"/>
      <c r="D30" s="22"/>
      <c r="E30" s="22"/>
      <c r="F30" s="22">
        <v>4000</v>
      </c>
      <c r="G30" s="23"/>
      <c r="H30" s="23"/>
      <c r="I30" s="23"/>
      <c r="J30" s="23"/>
      <c r="K30" s="23"/>
      <c r="L30" s="23"/>
      <c r="M30" s="23"/>
      <c r="N30" s="23"/>
    </row>
    <row r="31" spans="1:14" ht="15.75" customHeight="1" x14ac:dyDescent="0.35">
      <c r="A31" s="20" t="s">
        <v>132</v>
      </c>
      <c r="B31" s="6" t="s">
        <v>133</v>
      </c>
      <c r="C31" s="22">
        <v>3000</v>
      </c>
      <c r="D31" s="22">
        <v>3000</v>
      </c>
      <c r="E31" s="22">
        <v>4000</v>
      </c>
      <c r="F31" s="22">
        <v>4000</v>
      </c>
      <c r="G31" s="23"/>
      <c r="H31" s="23"/>
      <c r="I31" s="23"/>
      <c r="J31" s="23"/>
      <c r="K31" s="23"/>
      <c r="L31" s="23"/>
      <c r="M31" s="23"/>
      <c r="N31" s="23"/>
    </row>
    <row r="32" spans="1:14" ht="15.75" customHeight="1" x14ac:dyDescent="0.3">
      <c r="C32" s="24">
        <v>69000</v>
      </c>
      <c r="D32" s="24">
        <v>81000</v>
      </c>
      <c r="E32" s="24">
        <v>89000</v>
      </c>
      <c r="F32" s="24">
        <v>104000</v>
      </c>
    </row>
    <row r="33" spans="1:14" ht="15.75" customHeight="1" x14ac:dyDescent="0.3"/>
    <row r="34" spans="1:14" ht="15.75" customHeight="1" x14ac:dyDescent="0.3">
      <c r="A34" s="35" t="s">
        <v>83</v>
      </c>
      <c r="B34" s="35" t="s">
        <v>134</v>
      </c>
      <c r="C34" s="37">
        <v>2023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29"/>
    </row>
    <row r="35" spans="1:14" ht="15.75" customHeight="1" x14ac:dyDescent="0.3">
      <c r="A35" s="36"/>
      <c r="B35" s="36"/>
      <c r="C35" s="20" t="s">
        <v>135</v>
      </c>
      <c r="D35" s="20" t="s">
        <v>136</v>
      </c>
      <c r="E35" s="20" t="s">
        <v>137</v>
      </c>
      <c r="F35" s="20" t="s">
        <v>138</v>
      </c>
      <c r="G35" s="20" t="s">
        <v>139</v>
      </c>
      <c r="H35" s="20" t="s">
        <v>140</v>
      </c>
      <c r="I35" s="20" t="s">
        <v>141</v>
      </c>
      <c r="J35" s="20" t="s">
        <v>142</v>
      </c>
      <c r="K35" s="20" t="s">
        <v>85</v>
      </c>
      <c r="L35" s="20" t="s">
        <v>86</v>
      </c>
      <c r="M35" s="20" t="s">
        <v>87</v>
      </c>
      <c r="N35" s="20" t="s">
        <v>88</v>
      </c>
    </row>
    <row r="36" spans="1:14" ht="15.75" customHeight="1" x14ac:dyDescent="0.35">
      <c r="A36" s="20" t="s">
        <v>76</v>
      </c>
      <c r="B36" s="6" t="s">
        <v>89</v>
      </c>
      <c r="C36" s="22">
        <v>4000</v>
      </c>
      <c r="D36" s="22">
        <v>4000</v>
      </c>
      <c r="E36" s="22">
        <v>4000</v>
      </c>
      <c r="F36" s="22">
        <v>4000</v>
      </c>
      <c r="G36" s="22">
        <v>4000</v>
      </c>
      <c r="H36" s="22">
        <v>4000</v>
      </c>
      <c r="I36" s="22">
        <v>4000</v>
      </c>
      <c r="J36" s="22">
        <v>4000</v>
      </c>
      <c r="K36" s="22">
        <v>4000</v>
      </c>
      <c r="L36" s="22">
        <v>4000</v>
      </c>
      <c r="M36" s="6">
        <v>4000</v>
      </c>
      <c r="N36" s="6">
        <v>4000</v>
      </c>
    </row>
    <row r="37" spans="1:14" ht="15.75" customHeight="1" x14ac:dyDescent="0.35">
      <c r="A37" s="20" t="s">
        <v>77</v>
      </c>
      <c r="B37" s="6" t="s">
        <v>90</v>
      </c>
      <c r="C37" s="22">
        <v>4000</v>
      </c>
      <c r="D37" s="22">
        <v>4000</v>
      </c>
      <c r="E37" s="22">
        <v>4000</v>
      </c>
      <c r="F37" s="22">
        <v>4000</v>
      </c>
      <c r="G37" s="22">
        <v>4000</v>
      </c>
      <c r="H37" s="22">
        <v>4000</v>
      </c>
      <c r="I37" s="22">
        <v>4000</v>
      </c>
      <c r="J37" s="22">
        <v>4000</v>
      </c>
      <c r="K37" s="22">
        <v>4000</v>
      </c>
      <c r="L37" s="22">
        <v>4000</v>
      </c>
      <c r="M37" s="6">
        <v>4000</v>
      </c>
      <c r="N37" s="6">
        <v>4000</v>
      </c>
    </row>
    <row r="38" spans="1:14" ht="15.75" customHeight="1" x14ac:dyDescent="0.35">
      <c r="A38" s="20" t="s">
        <v>78</v>
      </c>
      <c r="B38" s="6" t="s">
        <v>91</v>
      </c>
      <c r="C38" s="22">
        <v>4000</v>
      </c>
      <c r="D38" s="22">
        <v>4000</v>
      </c>
      <c r="E38" s="22">
        <v>4000</v>
      </c>
      <c r="F38" s="22">
        <v>4000</v>
      </c>
      <c r="G38" s="22">
        <v>4000</v>
      </c>
      <c r="H38" s="22">
        <v>4000</v>
      </c>
      <c r="I38" s="22">
        <v>4000</v>
      </c>
      <c r="J38" s="22">
        <v>4000</v>
      </c>
      <c r="K38" s="22">
        <v>4000</v>
      </c>
      <c r="L38" s="22">
        <v>4000</v>
      </c>
      <c r="M38" s="6">
        <v>4000</v>
      </c>
      <c r="N38" s="6">
        <v>4000</v>
      </c>
    </row>
    <row r="39" spans="1:14" ht="15.75" customHeight="1" x14ac:dyDescent="0.35">
      <c r="A39" s="20" t="s">
        <v>79</v>
      </c>
      <c r="B39" s="6" t="s">
        <v>92</v>
      </c>
      <c r="C39" s="22">
        <v>4000</v>
      </c>
      <c r="D39" s="22">
        <v>4000</v>
      </c>
      <c r="E39" s="22">
        <v>4000</v>
      </c>
      <c r="F39" s="22">
        <v>4000</v>
      </c>
      <c r="G39" s="22">
        <v>4000</v>
      </c>
      <c r="H39" s="22">
        <v>4000</v>
      </c>
      <c r="I39" s="22">
        <v>4000</v>
      </c>
      <c r="J39" s="22">
        <v>4000</v>
      </c>
      <c r="K39" s="22">
        <v>4000</v>
      </c>
      <c r="L39" s="22">
        <v>4000</v>
      </c>
      <c r="M39" s="6">
        <v>4000</v>
      </c>
      <c r="N39" s="6">
        <v>4000</v>
      </c>
    </row>
    <row r="40" spans="1:14" ht="15.75" customHeight="1" x14ac:dyDescent="0.35">
      <c r="A40" s="20" t="s">
        <v>80</v>
      </c>
      <c r="B40" s="6" t="s">
        <v>93</v>
      </c>
      <c r="C40" s="22">
        <v>4000</v>
      </c>
      <c r="D40" s="22">
        <v>4000</v>
      </c>
      <c r="E40" s="22">
        <v>4000</v>
      </c>
      <c r="F40" s="22">
        <v>4000</v>
      </c>
      <c r="G40" s="22">
        <v>4000</v>
      </c>
      <c r="H40" s="22">
        <v>4000</v>
      </c>
      <c r="I40" s="22">
        <v>4000</v>
      </c>
      <c r="J40" s="22">
        <v>4000</v>
      </c>
      <c r="K40" s="22">
        <v>4000</v>
      </c>
      <c r="L40" s="22">
        <v>4000</v>
      </c>
      <c r="M40" s="6">
        <v>4000</v>
      </c>
      <c r="N40" s="6">
        <v>4000</v>
      </c>
    </row>
    <row r="41" spans="1:14" ht="15.75" customHeight="1" x14ac:dyDescent="0.35">
      <c r="A41" s="20" t="s">
        <v>81</v>
      </c>
      <c r="B41" s="6" t="s">
        <v>94</v>
      </c>
      <c r="C41" s="22">
        <v>4000</v>
      </c>
      <c r="D41" s="22">
        <v>4000</v>
      </c>
      <c r="E41" s="22">
        <v>4000</v>
      </c>
      <c r="F41" s="22">
        <v>4000</v>
      </c>
      <c r="G41" s="22">
        <v>4000</v>
      </c>
      <c r="H41" s="22">
        <v>4000</v>
      </c>
      <c r="I41" s="22">
        <v>4000</v>
      </c>
      <c r="J41" s="22">
        <v>4000</v>
      </c>
      <c r="K41" s="22">
        <v>4000</v>
      </c>
      <c r="L41" s="22">
        <v>4000</v>
      </c>
      <c r="M41" s="6">
        <v>4000</v>
      </c>
      <c r="N41" s="6">
        <v>4000</v>
      </c>
    </row>
    <row r="42" spans="1:14" ht="15.75" customHeight="1" x14ac:dyDescent="0.35">
      <c r="A42" s="20" t="s">
        <v>82</v>
      </c>
      <c r="B42" s="6" t="s">
        <v>95</v>
      </c>
      <c r="C42" s="22">
        <v>4000</v>
      </c>
      <c r="D42" s="22">
        <v>4000</v>
      </c>
      <c r="E42" s="22">
        <v>4000</v>
      </c>
      <c r="F42" s="22">
        <v>4000</v>
      </c>
      <c r="G42" s="22">
        <v>4000</v>
      </c>
      <c r="H42" s="22">
        <v>4000</v>
      </c>
      <c r="I42" s="22">
        <v>4000</v>
      </c>
      <c r="J42" s="22">
        <v>4000</v>
      </c>
      <c r="K42" s="22">
        <v>4000</v>
      </c>
      <c r="L42" s="22">
        <v>4000</v>
      </c>
      <c r="M42" s="6">
        <v>4000</v>
      </c>
      <c r="N42" s="6">
        <v>4000</v>
      </c>
    </row>
    <row r="43" spans="1:14" ht="15.75" customHeight="1" x14ac:dyDescent="0.35">
      <c r="A43" s="20" t="s">
        <v>96</v>
      </c>
      <c r="B43" s="6" t="s">
        <v>97</v>
      </c>
      <c r="C43" s="22">
        <v>4000</v>
      </c>
      <c r="D43" s="22">
        <v>4000</v>
      </c>
      <c r="E43" s="22">
        <v>4000</v>
      </c>
      <c r="F43" s="22">
        <v>4000</v>
      </c>
      <c r="G43" s="22">
        <v>4000</v>
      </c>
      <c r="H43" s="22">
        <v>4000</v>
      </c>
      <c r="I43" s="22">
        <v>4000</v>
      </c>
      <c r="J43" s="22">
        <v>4000</v>
      </c>
      <c r="K43" s="22">
        <v>4000</v>
      </c>
      <c r="L43" s="22">
        <v>4000</v>
      </c>
      <c r="M43" s="6">
        <v>4000</v>
      </c>
      <c r="N43" s="6">
        <v>4000</v>
      </c>
    </row>
    <row r="44" spans="1:14" ht="15.75" customHeight="1" x14ac:dyDescent="0.35">
      <c r="A44" s="20" t="s">
        <v>98</v>
      </c>
      <c r="B44" s="6" t="s">
        <v>99</v>
      </c>
      <c r="C44" s="22">
        <v>4000</v>
      </c>
      <c r="D44" s="22">
        <v>4000</v>
      </c>
      <c r="E44" s="22">
        <v>4000</v>
      </c>
      <c r="F44" s="22">
        <v>4000</v>
      </c>
      <c r="G44" s="22">
        <v>4000</v>
      </c>
      <c r="H44" s="22">
        <v>4000</v>
      </c>
      <c r="I44" s="22">
        <v>4000</v>
      </c>
      <c r="J44" s="22">
        <v>4000</v>
      </c>
      <c r="K44" s="22">
        <v>4000</v>
      </c>
      <c r="L44" s="22">
        <v>4000</v>
      </c>
      <c r="M44" s="6">
        <v>4000</v>
      </c>
      <c r="N44" s="6">
        <v>4000</v>
      </c>
    </row>
    <row r="45" spans="1:14" ht="15.75" customHeight="1" x14ac:dyDescent="0.35">
      <c r="A45" s="20" t="s">
        <v>100</v>
      </c>
      <c r="B45" s="6" t="s">
        <v>101</v>
      </c>
      <c r="C45" s="22">
        <v>4000</v>
      </c>
      <c r="D45" s="22">
        <v>4000</v>
      </c>
      <c r="E45" s="22">
        <v>4000</v>
      </c>
      <c r="F45" s="22">
        <v>4000</v>
      </c>
      <c r="G45" s="22">
        <v>4000</v>
      </c>
      <c r="H45" s="22">
        <v>4000</v>
      </c>
      <c r="I45" s="22">
        <v>4000</v>
      </c>
      <c r="J45" s="22">
        <v>4000</v>
      </c>
      <c r="K45" s="22">
        <v>4000</v>
      </c>
      <c r="L45" s="22">
        <v>4000</v>
      </c>
      <c r="M45" s="6">
        <v>4000</v>
      </c>
      <c r="N45" s="6">
        <v>4000</v>
      </c>
    </row>
    <row r="46" spans="1:14" ht="15.75" customHeight="1" x14ac:dyDescent="0.35">
      <c r="A46" s="20" t="s">
        <v>102</v>
      </c>
      <c r="B46" s="6" t="s">
        <v>103</v>
      </c>
      <c r="C46" s="22">
        <v>4000</v>
      </c>
      <c r="D46" s="22">
        <v>4000</v>
      </c>
      <c r="E46" s="22">
        <v>4000</v>
      </c>
      <c r="F46" s="22">
        <v>4000</v>
      </c>
      <c r="G46" s="22">
        <v>4000</v>
      </c>
      <c r="H46" s="22">
        <v>4000</v>
      </c>
      <c r="I46" s="22">
        <v>4000</v>
      </c>
      <c r="J46" s="22">
        <v>4000</v>
      </c>
      <c r="K46" s="22">
        <v>4000</v>
      </c>
      <c r="L46" s="22">
        <v>4000</v>
      </c>
      <c r="M46" s="6">
        <v>4000</v>
      </c>
      <c r="N46" s="6">
        <v>4000</v>
      </c>
    </row>
    <row r="47" spans="1:14" ht="15.75" customHeight="1" x14ac:dyDescent="0.35">
      <c r="A47" s="20" t="s">
        <v>104</v>
      </c>
      <c r="B47" s="6" t="s">
        <v>107</v>
      </c>
      <c r="C47" s="22">
        <v>4000</v>
      </c>
      <c r="D47" s="22">
        <v>4000</v>
      </c>
      <c r="E47" s="22">
        <v>4000</v>
      </c>
      <c r="F47" s="22">
        <v>4000</v>
      </c>
      <c r="G47" s="22">
        <v>4000</v>
      </c>
      <c r="H47" s="22">
        <v>4000</v>
      </c>
      <c r="I47" s="22">
        <v>4000</v>
      </c>
      <c r="J47" s="22">
        <v>4000</v>
      </c>
      <c r="K47" s="22">
        <v>4000</v>
      </c>
      <c r="L47" s="22">
        <v>4000</v>
      </c>
      <c r="M47" s="6">
        <v>4000</v>
      </c>
      <c r="N47" s="6">
        <v>4000</v>
      </c>
    </row>
    <row r="48" spans="1:14" ht="15.75" customHeight="1" x14ac:dyDescent="0.35">
      <c r="A48" s="20" t="s">
        <v>106</v>
      </c>
      <c r="B48" s="6" t="s">
        <v>109</v>
      </c>
      <c r="C48" s="22">
        <v>4000</v>
      </c>
      <c r="D48" s="22">
        <v>4000</v>
      </c>
      <c r="E48" s="22">
        <v>4000</v>
      </c>
      <c r="F48" s="22">
        <v>4000</v>
      </c>
      <c r="G48" s="22">
        <v>4000</v>
      </c>
      <c r="H48" s="22">
        <v>4000</v>
      </c>
      <c r="I48" s="22">
        <v>4000</v>
      </c>
      <c r="J48" s="22">
        <v>4000</v>
      </c>
      <c r="K48" s="22">
        <v>4000</v>
      </c>
      <c r="L48" s="22">
        <v>4000</v>
      </c>
      <c r="M48" s="6">
        <v>4000</v>
      </c>
      <c r="N48" s="6">
        <v>4000</v>
      </c>
    </row>
    <row r="49" spans="1:14" ht="15.75" customHeight="1" x14ac:dyDescent="0.35">
      <c r="A49" s="20" t="s">
        <v>108</v>
      </c>
      <c r="B49" s="6" t="s">
        <v>111</v>
      </c>
      <c r="C49" s="22">
        <v>4000</v>
      </c>
      <c r="D49" s="22">
        <v>4000</v>
      </c>
      <c r="E49" s="22">
        <v>4000</v>
      </c>
      <c r="F49" s="22">
        <v>4000</v>
      </c>
      <c r="G49" s="22">
        <v>4000</v>
      </c>
      <c r="H49" s="22">
        <v>4000</v>
      </c>
      <c r="I49" s="22">
        <v>4000</v>
      </c>
      <c r="J49" s="22">
        <v>4000</v>
      </c>
      <c r="K49" s="22">
        <v>4000</v>
      </c>
      <c r="L49" s="22">
        <v>4000</v>
      </c>
      <c r="M49" s="6">
        <v>4000</v>
      </c>
      <c r="N49" s="6">
        <v>4000</v>
      </c>
    </row>
    <row r="50" spans="1:14" ht="15.75" customHeight="1" x14ac:dyDescent="0.35">
      <c r="A50" s="20" t="s">
        <v>110</v>
      </c>
      <c r="B50" s="6" t="s">
        <v>113</v>
      </c>
      <c r="C50" s="22">
        <v>4000</v>
      </c>
      <c r="D50" s="22">
        <v>4000</v>
      </c>
      <c r="E50" s="22">
        <v>4000</v>
      </c>
      <c r="F50" s="22">
        <v>4000</v>
      </c>
      <c r="G50" s="22">
        <v>4000</v>
      </c>
      <c r="H50" s="22">
        <v>4000</v>
      </c>
      <c r="I50" s="22">
        <v>4000</v>
      </c>
      <c r="J50" s="22">
        <v>4000</v>
      </c>
      <c r="K50" s="22">
        <v>4000</v>
      </c>
      <c r="L50" s="22">
        <v>4000</v>
      </c>
      <c r="M50" s="6">
        <v>4000</v>
      </c>
      <c r="N50" s="6">
        <v>4000</v>
      </c>
    </row>
    <row r="51" spans="1:14" ht="15.75" customHeight="1" x14ac:dyDescent="0.35">
      <c r="A51" s="20" t="s">
        <v>112</v>
      </c>
      <c r="B51" s="6" t="s">
        <v>115</v>
      </c>
      <c r="C51" s="22">
        <v>4000</v>
      </c>
      <c r="D51" s="22">
        <v>4000</v>
      </c>
      <c r="E51" s="22">
        <v>4000</v>
      </c>
      <c r="F51" s="22">
        <v>4000</v>
      </c>
      <c r="G51" s="22">
        <v>4000</v>
      </c>
      <c r="H51" s="22">
        <v>4000</v>
      </c>
      <c r="I51" s="22">
        <v>4000</v>
      </c>
      <c r="J51" s="22">
        <v>4000</v>
      </c>
      <c r="K51" s="22">
        <v>4000</v>
      </c>
      <c r="L51" s="22">
        <v>4000</v>
      </c>
      <c r="M51" s="6">
        <v>4000</v>
      </c>
      <c r="N51" s="6">
        <v>4000</v>
      </c>
    </row>
    <row r="52" spans="1:14" ht="15.75" customHeight="1" x14ac:dyDescent="0.35">
      <c r="A52" s="20" t="s">
        <v>114</v>
      </c>
      <c r="B52" s="6" t="s">
        <v>117</v>
      </c>
      <c r="C52" s="22">
        <v>4000</v>
      </c>
      <c r="D52" s="22">
        <v>4000</v>
      </c>
      <c r="E52" s="22">
        <v>4000</v>
      </c>
      <c r="F52" s="22">
        <v>4000</v>
      </c>
      <c r="G52" s="22">
        <v>4000</v>
      </c>
      <c r="H52" s="22">
        <v>4000</v>
      </c>
      <c r="I52" s="22">
        <v>4000</v>
      </c>
      <c r="J52" s="22">
        <v>4000</v>
      </c>
      <c r="K52" s="22">
        <v>4000</v>
      </c>
      <c r="L52" s="22">
        <v>4000</v>
      </c>
      <c r="M52" s="6">
        <v>4000</v>
      </c>
      <c r="N52" s="6">
        <v>4000</v>
      </c>
    </row>
    <row r="53" spans="1:14" ht="15.75" customHeight="1" x14ac:dyDescent="0.35">
      <c r="A53" s="20" t="s">
        <v>116</v>
      </c>
      <c r="B53" s="6" t="s">
        <v>119</v>
      </c>
      <c r="C53" s="22">
        <v>4000</v>
      </c>
      <c r="D53" s="22">
        <v>4000</v>
      </c>
      <c r="E53" s="22">
        <v>4000</v>
      </c>
      <c r="F53" s="22">
        <v>4000</v>
      </c>
      <c r="G53" s="22">
        <v>4000</v>
      </c>
      <c r="H53" s="22">
        <v>4000</v>
      </c>
      <c r="I53" s="22">
        <v>4000</v>
      </c>
      <c r="J53" s="22">
        <v>4000</v>
      </c>
      <c r="K53" s="22">
        <v>4000</v>
      </c>
      <c r="L53" s="22">
        <v>4000</v>
      </c>
      <c r="M53" s="6">
        <v>4000</v>
      </c>
      <c r="N53" s="6">
        <v>4000</v>
      </c>
    </row>
    <row r="54" spans="1:14" ht="15.75" customHeight="1" x14ac:dyDescent="0.35">
      <c r="A54" s="20" t="s">
        <v>118</v>
      </c>
      <c r="B54" s="6" t="s">
        <v>121</v>
      </c>
      <c r="C54" s="22">
        <v>4000</v>
      </c>
      <c r="D54" s="22">
        <v>4000</v>
      </c>
      <c r="E54" s="22">
        <v>4000</v>
      </c>
      <c r="F54" s="22">
        <v>4000</v>
      </c>
      <c r="G54" s="22">
        <v>4000</v>
      </c>
      <c r="H54" s="22">
        <v>4000</v>
      </c>
      <c r="I54" s="22">
        <v>4000</v>
      </c>
      <c r="J54" s="22">
        <v>4000</v>
      </c>
      <c r="K54" s="22">
        <v>4000</v>
      </c>
      <c r="L54" s="22">
        <v>4000</v>
      </c>
      <c r="M54" s="6">
        <v>4000</v>
      </c>
      <c r="N54" s="6">
        <v>4000</v>
      </c>
    </row>
    <row r="55" spans="1:14" ht="15.75" customHeight="1" x14ac:dyDescent="0.35">
      <c r="A55" s="20" t="s">
        <v>120</v>
      </c>
      <c r="B55" s="6" t="s">
        <v>123</v>
      </c>
      <c r="C55" s="22">
        <v>4000</v>
      </c>
      <c r="D55" s="22">
        <v>4000</v>
      </c>
      <c r="E55" s="22">
        <v>4000</v>
      </c>
      <c r="F55" s="22">
        <v>4000</v>
      </c>
      <c r="G55" s="22">
        <v>4000</v>
      </c>
      <c r="H55" s="22">
        <v>4000</v>
      </c>
      <c r="I55" s="22">
        <v>4000</v>
      </c>
      <c r="J55" s="22">
        <v>4000</v>
      </c>
      <c r="K55" s="22">
        <v>4000</v>
      </c>
      <c r="L55" s="22">
        <v>4000</v>
      </c>
      <c r="M55" s="6">
        <v>4000</v>
      </c>
      <c r="N55" s="6">
        <v>4000</v>
      </c>
    </row>
    <row r="56" spans="1:14" ht="15.75" customHeight="1" x14ac:dyDescent="0.35">
      <c r="A56" s="20" t="s">
        <v>122</v>
      </c>
      <c r="B56" s="6" t="s">
        <v>125</v>
      </c>
      <c r="C56" s="22">
        <v>4000</v>
      </c>
      <c r="D56" s="22">
        <v>4000</v>
      </c>
      <c r="E56" s="22">
        <v>4000</v>
      </c>
      <c r="F56" s="22">
        <v>4000</v>
      </c>
      <c r="G56" s="22">
        <v>4000</v>
      </c>
      <c r="H56" s="22">
        <v>4000</v>
      </c>
      <c r="I56" s="22">
        <v>4000</v>
      </c>
      <c r="J56" s="22">
        <v>4000</v>
      </c>
      <c r="K56" s="22">
        <v>4000</v>
      </c>
      <c r="L56" s="22">
        <v>4000</v>
      </c>
      <c r="M56" s="6">
        <v>4000</v>
      </c>
      <c r="N56" s="6">
        <v>4000</v>
      </c>
    </row>
    <row r="57" spans="1:14" ht="15.75" customHeight="1" x14ac:dyDescent="0.35">
      <c r="A57" s="20" t="s">
        <v>124</v>
      </c>
      <c r="B57" s="6" t="s">
        <v>127</v>
      </c>
      <c r="C57" s="22">
        <v>4000</v>
      </c>
      <c r="D57" s="22">
        <v>4000</v>
      </c>
      <c r="E57" s="22">
        <v>4000</v>
      </c>
      <c r="F57" s="22">
        <v>4000</v>
      </c>
      <c r="G57" s="22">
        <v>4000</v>
      </c>
      <c r="H57" s="22">
        <v>4000</v>
      </c>
      <c r="I57" s="22">
        <v>4000</v>
      </c>
      <c r="J57" s="22">
        <v>4000</v>
      </c>
      <c r="K57" s="22">
        <v>4000</v>
      </c>
      <c r="L57" s="22">
        <v>4000</v>
      </c>
      <c r="M57" s="6">
        <v>4000</v>
      </c>
      <c r="N57" s="6">
        <v>4000</v>
      </c>
    </row>
    <row r="58" spans="1:14" ht="15.75" customHeight="1" x14ac:dyDescent="0.35">
      <c r="A58" s="20" t="s">
        <v>126</v>
      </c>
      <c r="B58" s="6" t="s">
        <v>129</v>
      </c>
      <c r="C58" s="22">
        <v>4000</v>
      </c>
      <c r="D58" s="22">
        <v>4000</v>
      </c>
      <c r="E58" s="22">
        <v>4000</v>
      </c>
      <c r="F58" s="22">
        <v>4000</v>
      </c>
      <c r="G58" s="22">
        <v>4000</v>
      </c>
      <c r="H58" s="22">
        <v>4000</v>
      </c>
      <c r="I58" s="22">
        <v>4000</v>
      </c>
      <c r="J58" s="22">
        <v>4000</v>
      </c>
      <c r="K58" s="22">
        <v>4000</v>
      </c>
      <c r="L58" s="22">
        <v>4000</v>
      </c>
      <c r="M58" s="6">
        <v>4000</v>
      </c>
      <c r="N58" s="6">
        <v>4000</v>
      </c>
    </row>
    <row r="59" spans="1:14" ht="15.75" customHeight="1" x14ac:dyDescent="0.35">
      <c r="A59" s="20" t="s">
        <v>128</v>
      </c>
      <c r="B59" s="6" t="s">
        <v>131</v>
      </c>
      <c r="C59" s="22">
        <v>4000</v>
      </c>
      <c r="D59" s="22">
        <v>4000</v>
      </c>
      <c r="E59" s="22">
        <v>4000</v>
      </c>
      <c r="F59" s="22">
        <v>4000</v>
      </c>
      <c r="G59" s="22">
        <v>4000</v>
      </c>
      <c r="H59" s="22">
        <v>4000</v>
      </c>
      <c r="I59" s="22">
        <v>4000</v>
      </c>
      <c r="J59" s="22">
        <v>4000</v>
      </c>
      <c r="K59" s="22">
        <v>4000</v>
      </c>
      <c r="L59" s="22">
        <v>4000</v>
      </c>
      <c r="M59" s="6">
        <v>4000</v>
      </c>
      <c r="N59" s="6">
        <v>4000</v>
      </c>
    </row>
    <row r="60" spans="1:14" ht="15.75" customHeight="1" x14ac:dyDescent="0.35">
      <c r="A60" s="20" t="s">
        <v>130</v>
      </c>
      <c r="B60" s="6" t="s">
        <v>133</v>
      </c>
      <c r="C60" s="22">
        <v>4000</v>
      </c>
      <c r="D60" s="22">
        <v>4000</v>
      </c>
      <c r="E60" s="22">
        <v>4000</v>
      </c>
      <c r="F60" s="22">
        <v>4000</v>
      </c>
      <c r="G60" s="22">
        <v>4000</v>
      </c>
      <c r="H60" s="22">
        <v>4000</v>
      </c>
      <c r="I60" s="22">
        <v>4000</v>
      </c>
      <c r="J60" s="22">
        <v>4000</v>
      </c>
      <c r="K60" s="22">
        <v>4000</v>
      </c>
      <c r="L60" s="22">
        <v>4000</v>
      </c>
      <c r="M60" s="6">
        <v>4000</v>
      </c>
      <c r="N60" s="6">
        <v>4000</v>
      </c>
    </row>
    <row r="61" spans="1:14" ht="15.75" customHeight="1" x14ac:dyDescent="0.3">
      <c r="C61" s="24">
        <v>104000</v>
      </c>
      <c r="D61" s="24">
        <v>104000</v>
      </c>
      <c r="E61" s="24">
        <v>104000</v>
      </c>
      <c r="F61" s="24">
        <v>104000</v>
      </c>
      <c r="G61" s="24">
        <v>104000</v>
      </c>
      <c r="H61" s="24">
        <v>104000</v>
      </c>
      <c r="I61" s="24">
        <v>104000</v>
      </c>
      <c r="J61" s="24">
        <v>104000</v>
      </c>
      <c r="K61" s="24">
        <v>104000</v>
      </c>
      <c r="L61" s="24">
        <v>104000</v>
      </c>
      <c r="M61" s="25">
        <v>104000</v>
      </c>
      <c r="N61" s="25">
        <v>104000</v>
      </c>
    </row>
    <row r="62" spans="1:14" ht="15.75" customHeight="1" x14ac:dyDescent="0.3"/>
    <row r="63" spans="1:14" ht="15.75" customHeight="1" x14ac:dyDescent="0.3"/>
    <row r="64" spans="1:14" ht="15.75" customHeight="1" x14ac:dyDescent="0.3">
      <c r="A64" s="35" t="s">
        <v>83</v>
      </c>
      <c r="B64" s="35" t="s">
        <v>134</v>
      </c>
      <c r="C64" s="37">
        <v>2024</v>
      </c>
      <c r="D64" s="34"/>
      <c r="E64" s="34"/>
      <c r="F64" s="34"/>
      <c r="G64" s="34"/>
      <c r="H64" s="34"/>
      <c r="I64" s="34"/>
      <c r="J64" s="29"/>
      <c r="K64" s="21"/>
      <c r="L64" s="21"/>
      <c r="M64" s="21"/>
      <c r="N64" s="21"/>
    </row>
    <row r="65" spans="1:14" ht="15.75" customHeight="1" x14ac:dyDescent="0.3">
      <c r="A65" s="36"/>
      <c r="B65" s="36"/>
      <c r="C65" s="20" t="s">
        <v>135</v>
      </c>
      <c r="D65" s="20" t="s">
        <v>136</v>
      </c>
      <c r="E65" s="20" t="s">
        <v>137</v>
      </c>
      <c r="F65" s="20" t="s">
        <v>138</v>
      </c>
      <c r="G65" s="20" t="s">
        <v>139</v>
      </c>
      <c r="H65" s="20" t="s">
        <v>140</v>
      </c>
      <c r="I65" s="20" t="s">
        <v>141</v>
      </c>
      <c r="J65" s="20" t="s">
        <v>142</v>
      </c>
      <c r="K65" s="21"/>
      <c r="L65" s="21"/>
      <c r="M65" s="21"/>
      <c r="N65" s="21"/>
    </row>
    <row r="66" spans="1:14" ht="15.75" customHeight="1" x14ac:dyDescent="0.35">
      <c r="A66" s="20" t="s">
        <v>76</v>
      </c>
      <c r="B66" s="6" t="s">
        <v>89</v>
      </c>
      <c r="C66" s="22">
        <v>4000</v>
      </c>
      <c r="D66" s="22">
        <v>4000</v>
      </c>
      <c r="E66" s="22">
        <v>4000</v>
      </c>
      <c r="F66" s="22">
        <v>4000</v>
      </c>
      <c r="G66" s="22">
        <v>4000</v>
      </c>
      <c r="H66" s="22">
        <v>4000</v>
      </c>
      <c r="I66" s="22">
        <v>4000</v>
      </c>
      <c r="J66" s="22">
        <v>4000</v>
      </c>
      <c r="K66" s="23"/>
      <c r="L66" s="23"/>
      <c r="M66" s="23"/>
      <c r="N66" s="23"/>
    </row>
    <row r="67" spans="1:14" ht="15.75" customHeight="1" x14ac:dyDescent="0.35">
      <c r="A67" s="20" t="s">
        <v>77</v>
      </c>
      <c r="B67" s="6" t="s">
        <v>90</v>
      </c>
      <c r="C67" s="22">
        <v>4000</v>
      </c>
      <c r="D67" s="22">
        <v>4000</v>
      </c>
      <c r="E67" s="22">
        <v>4000</v>
      </c>
      <c r="F67" s="22">
        <v>4000</v>
      </c>
      <c r="G67" s="22">
        <v>4000</v>
      </c>
      <c r="H67" s="22">
        <v>4000</v>
      </c>
      <c r="I67" s="22">
        <v>4000</v>
      </c>
      <c r="J67" s="22">
        <v>4000</v>
      </c>
      <c r="K67" s="23"/>
      <c r="L67" s="23"/>
      <c r="M67" s="23"/>
      <c r="N67" s="23"/>
    </row>
    <row r="68" spans="1:14" ht="15.75" customHeight="1" x14ac:dyDescent="0.35">
      <c r="A68" s="20" t="s">
        <v>78</v>
      </c>
      <c r="B68" s="6" t="s">
        <v>91</v>
      </c>
      <c r="C68" s="22">
        <v>4000</v>
      </c>
      <c r="D68" s="22">
        <v>4000</v>
      </c>
      <c r="E68" s="22">
        <v>4000</v>
      </c>
      <c r="F68" s="22">
        <v>4000</v>
      </c>
      <c r="G68" s="22">
        <v>4000</v>
      </c>
      <c r="H68" s="22">
        <v>4000</v>
      </c>
      <c r="I68" s="22">
        <v>4000</v>
      </c>
      <c r="J68" s="22">
        <v>4000</v>
      </c>
      <c r="K68" s="23"/>
      <c r="L68" s="23"/>
      <c r="M68" s="23"/>
      <c r="N68" s="23"/>
    </row>
    <row r="69" spans="1:14" ht="15.75" customHeight="1" x14ac:dyDescent="0.35">
      <c r="A69" s="20" t="s">
        <v>79</v>
      </c>
      <c r="B69" s="6" t="s">
        <v>92</v>
      </c>
      <c r="C69" s="22">
        <v>4000</v>
      </c>
      <c r="D69" s="22">
        <v>4000</v>
      </c>
      <c r="E69" s="22">
        <v>4000</v>
      </c>
      <c r="F69" s="22">
        <v>4000</v>
      </c>
      <c r="G69" s="22">
        <v>4000</v>
      </c>
      <c r="H69" s="22">
        <v>4000</v>
      </c>
      <c r="I69" s="22">
        <v>4000</v>
      </c>
      <c r="J69" s="22">
        <v>4000</v>
      </c>
      <c r="K69" s="23"/>
      <c r="L69" s="23"/>
      <c r="M69" s="23"/>
      <c r="N69" s="23"/>
    </row>
    <row r="70" spans="1:14" ht="15.75" customHeight="1" x14ac:dyDescent="0.35">
      <c r="A70" s="20" t="s">
        <v>80</v>
      </c>
      <c r="B70" s="6" t="s">
        <v>93</v>
      </c>
      <c r="C70" s="22">
        <v>4000</v>
      </c>
      <c r="D70" s="22">
        <v>4000</v>
      </c>
      <c r="E70" s="22">
        <v>4000</v>
      </c>
      <c r="F70" s="22">
        <v>4000</v>
      </c>
      <c r="G70" s="22">
        <v>4000</v>
      </c>
      <c r="H70" s="22">
        <v>4000</v>
      </c>
      <c r="I70" s="22">
        <v>4000</v>
      </c>
      <c r="J70" s="22">
        <v>4000</v>
      </c>
      <c r="K70" s="23"/>
      <c r="L70" s="23"/>
      <c r="M70" s="23"/>
      <c r="N70" s="23"/>
    </row>
    <row r="71" spans="1:14" ht="15.75" customHeight="1" x14ac:dyDescent="0.35">
      <c r="A71" s="20" t="s">
        <v>81</v>
      </c>
      <c r="B71" s="6" t="s">
        <v>94</v>
      </c>
      <c r="C71" s="22">
        <v>4000</v>
      </c>
      <c r="D71" s="22">
        <v>4000</v>
      </c>
      <c r="E71" s="22">
        <v>4000</v>
      </c>
      <c r="F71" s="22">
        <v>4000</v>
      </c>
      <c r="G71" s="22">
        <v>4000</v>
      </c>
      <c r="H71" s="22">
        <v>4000</v>
      </c>
      <c r="I71" s="22">
        <v>4000</v>
      </c>
      <c r="J71" s="22">
        <v>4000</v>
      </c>
      <c r="K71" s="23"/>
      <c r="L71" s="23"/>
      <c r="M71" s="23"/>
      <c r="N71" s="23"/>
    </row>
    <row r="72" spans="1:14" ht="15.75" customHeight="1" x14ac:dyDescent="0.35">
      <c r="A72" s="20" t="s">
        <v>82</v>
      </c>
      <c r="B72" s="6" t="s">
        <v>95</v>
      </c>
      <c r="C72" s="22">
        <v>4000</v>
      </c>
      <c r="D72" s="22">
        <v>4000</v>
      </c>
      <c r="E72" s="22">
        <v>4000</v>
      </c>
      <c r="F72" s="22">
        <v>4000</v>
      </c>
      <c r="G72" s="22">
        <v>4000</v>
      </c>
      <c r="H72" s="22">
        <v>4000</v>
      </c>
      <c r="I72" s="22">
        <v>4000</v>
      </c>
      <c r="J72" s="22">
        <v>4000</v>
      </c>
      <c r="K72" s="23"/>
      <c r="L72" s="23"/>
      <c r="M72" s="23"/>
      <c r="N72" s="23"/>
    </row>
    <row r="73" spans="1:14" ht="15.75" customHeight="1" x14ac:dyDescent="0.35">
      <c r="A73" s="20" t="s">
        <v>96</v>
      </c>
      <c r="B73" s="6" t="s">
        <v>97</v>
      </c>
      <c r="C73" s="22">
        <v>4000</v>
      </c>
      <c r="D73" s="22">
        <v>4000</v>
      </c>
      <c r="E73" s="22">
        <v>4000</v>
      </c>
      <c r="F73" s="22">
        <v>4000</v>
      </c>
      <c r="G73" s="22">
        <v>4000</v>
      </c>
      <c r="H73" s="22">
        <v>4000</v>
      </c>
      <c r="I73" s="22">
        <v>4000</v>
      </c>
      <c r="J73" s="22">
        <v>4000</v>
      </c>
      <c r="K73" s="23"/>
      <c r="L73" s="23"/>
      <c r="M73" s="23"/>
      <c r="N73" s="23"/>
    </row>
    <row r="74" spans="1:14" ht="15.75" customHeight="1" x14ac:dyDescent="0.35">
      <c r="A74" s="20" t="s">
        <v>98</v>
      </c>
      <c r="B74" s="6" t="s">
        <v>99</v>
      </c>
      <c r="C74" s="22">
        <v>4000</v>
      </c>
      <c r="D74" s="22">
        <v>4000</v>
      </c>
      <c r="E74" s="22">
        <v>4000</v>
      </c>
      <c r="F74" s="22">
        <v>4000</v>
      </c>
      <c r="G74" s="22">
        <v>4000</v>
      </c>
      <c r="H74" s="22">
        <v>4000</v>
      </c>
      <c r="I74" s="22">
        <v>4000</v>
      </c>
      <c r="J74" s="22">
        <v>4000</v>
      </c>
      <c r="K74" s="23"/>
      <c r="L74" s="23"/>
      <c r="M74" s="23"/>
      <c r="N74" s="23"/>
    </row>
    <row r="75" spans="1:14" ht="15.75" customHeight="1" x14ac:dyDescent="0.35">
      <c r="A75" s="20" t="s">
        <v>100</v>
      </c>
      <c r="B75" s="6" t="s">
        <v>101</v>
      </c>
      <c r="C75" s="22">
        <v>4000</v>
      </c>
      <c r="D75" s="22">
        <v>4000</v>
      </c>
      <c r="E75" s="22">
        <v>4000</v>
      </c>
      <c r="F75" s="22">
        <v>4000</v>
      </c>
      <c r="G75" s="22">
        <v>4000</v>
      </c>
      <c r="H75" s="22">
        <v>4000</v>
      </c>
      <c r="I75" s="22">
        <v>4000</v>
      </c>
      <c r="J75" s="22">
        <v>4000</v>
      </c>
      <c r="K75" s="23"/>
      <c r="L75" s="23"/>
      <c r="M75" s="23"/>
      <c r="N75" s="23"/>
    </row>
    <row r="76" spans="1:14" ht="15.75" customHeight="1" x14ac:dyDescent="0.35">
      <c r="A76" s="20" t="s">
        <v>102</v>
      </c>
      <c r="B76" s="6" t="s">
        <v>103</v>
      </c>
      <c r="C76" s="22">
        <v>4000</v>
      </c>
      <c r="D76" s="22">
        <v>4000</v>
      </c>
      <c r="E76" s="22">
        <v>4000</v>
      </c>
      <c r="F76" s="22">
        <v>4000</v>
      </c>
      <c r="G76" s="22">
        <v>4000</v>
      </c>
      <c r="H76" s="22">
        <v>4000</v>
      </c>
      <c r="I76" s="22">
        <v>4000</v>
      </c>
      <c r="J76" s="22">
        <v>4000</v>
      </c>
      <c r="K76" s="23"/>
      <c r="L76" s="23"/>
      <c r="M76" s="23"/>
      <c r="N76" s="23"/>
    </row>
    <row r="77" spans="1:14" ht="15.75" customHeight="1" x14ac:dyDescent="0.35">
      <c r="A77" s="20" t="s">
        <v>104</v>
      </c>
      <c r="B77" s="6" t="s">
        <v>107</v>
      </c>
      <c r="C77" s="22">
        <v>4000</v>
      </c>
      <c r="D77" s="22">
        <v>4000</v>
      </c>
      <c r="E77" s="22">
        <v>4000</v>
      </c>
      <c r="F77" s="22">
        <v>4000</v>
      </c>
      <c r="G77" s="22">
        <v>4000</v>
      </c>
      <c r="H77" s="22">
        <v>4000</v>
      </c>
      <c r="I77" s="22">
        <v>4000</v>
      </c>
      <c r="J77" s="22">
        <v>4000</v>
      </c>
      <c r="K77" s="23"/>
      <c r="L77" s="23"/>
      <c r="M77" s="23"/>
      <c r="N77" s="23"/>
    </row>
    <row r="78" spans="1:14" ht="15.75" customHeight="1" x14ac:dyDescent="0.35">
      <c r="A78" s="20" t="s">
        <v>106</v>
      </c>
      <c r="B78" s="6" t="s">
        <v>109</v>
      </c>
      <c r="C78" s="22">
        <v>4000</v>
      </c>
      <c r="D78" s="22">
        <v>4000</v>
      </c>
      <c r="E78" s="22">
        <v>4000</v>
      </c>
      <c r="F78" s="22">
        <v>4000</v>
      </c>
      <c r="G78" s="22">
        <v>4000</v>
      </c>
      <c r="H78" s="22">
        <v>4000</v>
      </c>
      <c r="I78" s="22">
        <v>4000</v>
      </c>
      <c r="J78" s="22">
        <v>4000</v>
      </c>
      <c r="K78" s="23"/>
      <c r="L78" s="23"/>
      <c r="M78" s="23"/>
      <c r="N78" s="23"/>
    </row>
    <row r="79" spans="1:14" ht="15.75" customHeight="1" x14ac:dyDescent="0.35">
      <c r="A79" s="20" t="s">
        <v>108</v>
      </c>
      <c r="B79" s="6" t="s">
        <v>111</v>
      </c>
      <c r="C79" s="22">
        <v>4000</v>
      </c>
      <c r="D79" s="22">
        <v>4000</v>
      </c>
      <c r="E79" s="22">
        <v>4000</v>
      </c>
      <c r="F79" s="22">
        <v>4000</v>
      </c>
      <c r="G79" s="22">
        <v>4000</v>
      </c>
      <c r="H79" s="22">
        <v>4000</v>
      </c>
      <c r="I79" s="22">
        <v>4000</v>
      </c>
      <c r="J79" s="22">
        <v>4000</v>
      </c>
      <c r="K79" s="23"/>
      <c r="L79" s="23"/>
      <c r="M79" s="23"/>
      <c r="N79" s="23"/>
    </row>
    <row r="80" spans="1:14" ht="15.75" customHeight="1" x14ac:dyDescent="0.35">
      <c r="A80" s="20" t="s">
        <v>110</v>
      </c>
      <c r="B80" s="6" t="s">
        <v>113</v>
      </c>
      <c r="C80" s="22">
        <v>4000</v>
      </c>
      <c r="D80" s="22">
        <v>4000</v>
      </c>
      <c r="E80" s="22">
        <v>4000</v>
      </c>
      <c r="F80" s="22">
        <v>4000</v>
      </c>
      <c r="G80" s="22">
        <v>4000</v>
      </c>
      <c r="H80" s="22">
        <v>4000</v>
      </c>
      <c r="I80" s="22">
        <v>4000</v>
      </c>
      <c r="J80" s="22">
        <v>4000</v>
      </c>
      <c r="K80" s="23"/>
      <c r="L80" s="23"/>
      <c r="M80" s="23"/>
      <c r="N80" s="23"/>
    </row>
    <row r="81" spans="1:14" ht="15.75" customHeight="1" x14ac:dyDescent="0.35">
      <c r="A81" s="20" t="s">
        <v>112</v>
      </c>
      <c r="B81" s="6" t="s">
        <v>115</v>
      </c>
      <c r="C81" s="22">
        <v>4000</v>
      </c>
      <c r="D81" s="22">
        <v>4000</v>
      </c>
      <c r="E81" s="22">
        <v>4000</v>
      </c>
      <c r="F81" s="22">
        <v>4000</v>
      </c>
      <c r="G81" s="22">
        <v>4000</v>
      </c>
      <c r="H81" s="22">
        <v>4000</v>
      </c>
      <c r="I81" s="22">
        <v>4000</v>
      </c>
      <c r="J81" s="22">
        <v>4000</v>
      </c>
      <c r="K81" s="23"/>
      <c r="L81" s="23"/>
      <c r="M81" s="23"/>
      <c r="N81" s="23"/>
    </row>
    <row r="82" spans="1:14" ht="15.75" customHeight="1" x14ac:dyDescent="0.35">
      <c r="A82" s="20" t="s">
        <v>114</v>
      </c>
      <c r="B82" s="6" t="s">
        <v>117</v>
      </c>
      <c r="C82" s="22">
        <v>4000</v>
      </c>
      <c r="D82" s="22">
        <v>4000</v>
      </c>
      <c r="E82" s="22">
        <v>4000</v>
      </c>
      <c r="F82" s="22">
        <v>4000</v>
      </c>
      <c r="G82" s="22">
        <v>4000</v>
      </c>
      <c r="H82" s="22">
        <v>4000</v>
      </c>
      <c r="I82" s="22">
        <v>4000</v>
      </c>
      <c r="J82" s="22">
        <v>4000</v>
      </c>
      <c r="K82" s="23"/>
      <c r="L82" s="23"/>
      <c r="M82" s="23"/>
      <c r="N82" s="23"/>
    </row>
    <row r="83" spans="1:14" ht="15.75" customHeight="1" x14ac:dyDescent="0.35">
      <c r="A83" s="20" t="s">
        <v>116</v>
      </c>
      <c r="B83" s="6" t="s">
        <v>119</v>
      </c>
      <c r="C83" s="22">
        <v>4000</v>
      </c>
      <c r="D83" s="22">
        <v>4000</v>
      </c>
      <c r="E83" s="22">
        <v>4000</v>
      </c>
      <c r="F83" s="22">
        <v>4000</v>
      </c>
      <c r="G83" s="22">
        <v>4000</v>
      </c>
      <c r="H83" s="22">
        <v>4000</v>
      </c>
      <c r="I83" s="22">
        <v>4000</v>
      </c>
      <c r="J83" s="22">
        <v>4000</v>
      </c>
      <c r="K83" s="23"/>
      <c r="L83" s="23"/>
      <c r="M83" s="23"/>
      <c r="N83" s="23"/>
    </row>
    <row r="84" spans="1:14" ht="15.75" customHeight="1" x14ac:dyDescent="0.35">
      <c r="A84" s="20" t="s">
        <v>118</v>
      </c>
      <c r="B84" s="6" t="s">
        <v>121</v>
      </c>
      <c r="C84" s="22">
        <v>4000</v>
      </c>
      <c r="D84" s="22">
        <v>4000</v>
      </c>
      <c r="E84" s="22">
        <v>4000</v>
      </c>
      <c r="F84" s="22">
        <v>4000</v>
      </c>
      <c r="G84" s="22">
        <v>4000</v>
      </c>
      <c r="H84" s="22">
        <v>4000</v>
      </c>
      <c r="I84" s="22">
        <v>4000</v>
      </c>
      <c r="J84" s="22">
        <v>4000</v>
      </c>
      <c r="K84" s="23"/>
      <c r="L84" s="23"/>
      <c r="M84" s="23"/>
      <c r="N84" s="23"/>
    </row>
    <row r="85" spans="1:14" ht="15.75" customHeight="1" x14ac:dyDescent="0.35">
      <c r="A85" s="20" t="s">
        <v>120</v>
      </c>
      <c r="B85" s="6" t="s">
        <v>123</v>
      </c>
      <c r="C85" s="22">
        <v>4000</v>
      </c>
      <c r="D85" s="22">
        <v>4000</v>
      </c>
      <c r="E85" s="22">
        <v>4000</v>
      </c>
      <c r="F85" s="22">
        <v>4000</v>
      </c>
      <c r="G85" s="22">
        <v>4000</v>
      </c>
      <c r="H85" s="22">
        <v>4000</v>
      </c>
      <c r="I85" s="22">
        <v>4000</v>
      </c>
      <c r="J85" s="22">
        <v>4000</v>
      </c>
      <c r="K85" s="23"/>
      <c r="L85" s="23"/>
      <c r="M85" s="23"/>
      <c r="N85" s="23"/>
    </row>
    <row r="86" spans="1:14" ht="15.75" customHeight="1" x14ac:dyDescent="0.35">
      <c r="A86" s="20" t="s">
        <v>122</v>
      </c>
      <c r="B86" s="6" t="s">
        <v>125</v>
      </c>
      <c r="C86" s="22">
        <v>4000</v>
      </c>
      <c r="D86" s="22">
        <v>4000</v>
      </c>
      <c r="E86" s="22">
        <v>4000</v>
      </c>
      <c r="F86" s="22">
        <v>4000</v>
      </c>
      <c r="G86" s="22">
        <v>4000</v>
      </c>
      <c r="H86" s="22">
        <v>4000</v>
      </c>
      <c r="I86" s="22">
        <v>4000</v>
      </c>
      <c r="J86" s="22">
        <v>4000</v>
      </c>
      <c r="K86" s="23"/>
      <c r="L86" s="23"/>
      <c r="M86" s="23"/>
      <c r="N86" s="23"/>
    </row>
    <row r="87" spans="1:14" ht="15.75" customHeight="1" x14ac:dyDescent="0.35">
      <c r="A87" s="20" t="s">
        <v>124</v>
      </c>
      <c r="B87" s="6" t="s">
        <v>127</v>
      </c>
      <c r="C87" s="22">
        <v>4000</v>
      </c>
      <c r="D87" s="22">
        <v>4000</v>
      </c>
      <c r="E87" s="22">
        <v>4000</v>
      </c>
      <c r="F87" s="22">
        <v>4000</v>
      </c>
      <c r="G87" s="22">
        <v>4000</v>
      </c>
      <c r="H87" s="22">
        <v>4000</v>
      </c>
      <c r="I87" s="22">
        <v>4000</v>
      </c>
      <c r="J87" s="22">
        <v>4000</v>
      </c>
      <c r="K87" s="23"/>
      <c r="L87" s="23"/>
      <c r="M87" s="23"/>
      <c r="N87" s="23"/>
    </row>
    <row r="88" spans="1:14" ht="15.75" customHeight="1" x14ac:dyDescent="0.35">
      <c r="A88" s="20" t="s">
        <v>126</v>
      </c>
      <c r="B88" s="6" t="s">
        <v>129</v>
      </c>
      <c r="C88" s="22">
        <v>4000</v>
      </c>
      <c r="D88" s="22">
        <v>4000</v>
      </c>
      <c r="E88" s="22">
        <v>4000</v>
      </c>
      <c r="F88" s="22">
        <v>4000</v>
      </c>
      <c r="G88" s="22">
        <v>4000</v>
      </c>
      <c r="H88" s="22">
        <v>4000</v>
      </c>
      <c r="I88" s="22">
        <v>4000</v>
      </c>
      <c r="J88" s="22">
        <v>4000</v>
      </c>
      <c r="K88" s="23"/>
      <c r="L88" s="23"/>
      <c r="M88" s="23"/>
      <c r="N88" s="23"/>
    </row>
    <row r="89" spans="1:14" ht="15.75" customHeight="1" x14ac:dyDescent="0.35">
      <c r="A89" s="20" t="s">
        <v>128</v>
      </c>
      <c r="B89" s="6" t="s">
        <v>131</v>
      </c>
      <c r="C89" s="22">
        <v>4000</v>
      </c>
      <c r="D89" s="22">
        <v>4000</v>
      </c>
      <c r="E89" s="22">
        <v>4000</v>
      </c>
      <c r="F89" s="22">
        <v>4000</v>
      </c>
      <c r="G89" s="22">
        <v>4000</v>
      </c>
      <c r="H89" s="22">
        <v>4000</v>
      </c>
      <c r="I89" s="22">
        <v>4000</v>
      </c>
      <c r="J89" s="22">
        <v>4000</v>
      </c>
      <c r="K89" s="23"/>
      <c r="L89" s="23"/>
      <c r="M89" s="23"/>
      <c r="N89" s="23"/>
    </row>
    <row r="90" spans="1:14" ht="15.75" customHeight="1" x14ac:dyDescent="0.35">
      <c r="A90" s="20" t="s">
        <v>130</v>
      </c>
      <c r="B90" s="6" t="s">
        <v>133</v>
      </c>
      <c r="C90" s="22">
        <v>4000</v>
      </c>
      <c r="D90" s="22">
        <v>4000</v>
      </c>
      <c r="E90" s="22">
        <v>4000</v>
      </c>
      <c r="F90" s="22">
        <v>4000</v>
      </c>
      <c r="G90" s="22">
        <v>4000</v>
      </c>
      <c r="H90" s="22">
        <v>4000</v>
      </c>
      <c r="I90" s="22">
        <v>4000</v>
      </c>
      <c r="J90" s="22">
        <v>4000</v>
      </c>
      <c r="K90" s="23"/>
      <c r="L90" s="23"/>
      <c r="M90" s="23"/>
      <c r="N90" s="23"/>
    </row>
    <row r="91" spans="1:14" ht="15.75" customHeight="1" x14ac:dyDescent="0.3">
      <c r="C91" s="24">
        <v>104000</v>
      </c>
      <c r="D91" s="24">
        <v>104000</v>
      </c>
      <c r="E91" s="24">
        <v>104000</v>
      </c>
      <c r="F91" s="24">
        <v>104000</v>
      </c>
      <c r="G91" s="24">
        <v>104000</v>
      </c>
      <c r="H91" s="24">
        <v>104000</v>
      </c>
      <c r="I91" s="24">
        <v>104000</v>
      </c>
      <c r="J91" s="24">
        <v>104000</v>
      </c>
    </row>
    <row r="92" spans="1:14" ht="15.75" customHeight="1" x14ac:dyDescent="0.3"/>
    <row r="93" spans="1:14" ht="15.75" customHeight="1" x14ac:dyDescent="0.3"/>
    <row r="94" spans="1:14" ht="15.75" customHeight="1" x14ac:dyDescent="0.3"/>
    <row r="95" spans="1:14" ht="15.75" customHeight="1" x14ac:dyDescent="0.3"/>
    <row r="96" spans="1:1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64:A65"/>
    <mergeCell ref="B64:B65"/>
    <mergeCell ref="C64:J64"/>
    <mergeCell ref="A4:A5"/>
    <mergeCell ref="C4:F4"/>
    <mergeCell ref="A34:A35"/>
    <mergeCell ref="B34:B35"/>
    <mergeCell ref="C34:N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I1001"/>
  <sheetViews>
    <sheetView tabSelected="1" workbookViewId="0">
      <selection activeCell="D6" sqref="D6:D12"/>
    </sheetView>
  </sheetViews>
  <sheetFormatPr defaultColWidth="12.6640625" defaultRowHeight="15" customHeight="1" x14ac:dyDescent="0.3"/>
  <cols>
    <col min="1" max="1" width="14.4140625" customWidth="1"/>
    <col min="2" max="2" width="4.4140625" customWidth="1"/>
    <col min="3" max="5" width="14.4140625" customWidth="1"/>
    <col min="6" max="6" width="18.75" customWidth="1"/>
    <col min="7" max="7" width="16.25" customWidth="1"/>
    <col min="8" max="26" width="14.4140625" customWidth="1"/>
  </cols>
  <sheetData>
    <row r="1" spans="2:7" ht="14" x14ac:dyDescent="0.3">
      <c r="B1" s="33" t="s">
        <v>143</v>
      </c>
      <c r="C1" s="31"/>
      <c r="D1" s="31"/>
      <c r="E1" s="31"/>
      <c r="F1" s="31"/>
      <c r="G1" s="31"/>
    </row>
    <row r="2" spans="2:7" ht="15" customHeight="1" x14ac:dyDescent="0.3">
      <c r="B2" s="31"/>
      <c r="C2" s="31"/>
      <c r="D2" s="31"/>
      <c r="E2" s="31"/>
      <c r="F2" s="31"/>
      <c r="G2" s="31"/>
    </row>
    <row r="6" spans="2:7" ht="14" x14ac:dyDescent="0.3">
      <c r="B6" s="13" t="s">
        <v>83</v>
      </c>
      <c r="C6" s="39" t="s">
        <v>144</v>
      </c>
      <c r="D6" s="43" t="s">
        <v>145</v>
      </c>
      <c r="E6" s="41" t="s">
        <v>146</v>
      </c>
      <c r="F6" s="45" t="s">
        <v>147</v>
      </c>
      <c r="G6" s="45"/>
    </row>
    <row r="7" spans="2:7" ht="14" x14ac:dyDescent="0.3">
      <c r="B7" s="14" t="s">
        <v>76</v>
      </c>
      <c r="C7" s="40" t="s">
        <v>148</v>
      </c>
      <c r="D7" s="44">
        <v>3</v>
      </c>
      <c r="E7" s="42" t="s">
        <v>149</v>
      </c>
      <c r="F7" s="46">
        <v>75000</v>
      </c>
      <c r="G7" s="46"/>
    </row>
    <row r="8" spans="2:7" ht="14" x14ac:dyDescent="0.3">
      <c r="B8" s="16" t="s">
        <v>77</v>
      </c>
      <c r="C8" s="40" t="s">
        <v>150</v>
      </c>
      <c r="D8" s="44">
        <v>3</v>
      </c>
      <c r="E8" s="42" t="s">
        <v>151</v>
      </c>
      <c r="F8" s="46">
        <v>75000</v>
      </c>
      <c r="G8" s="46"/>
    </row>
    <row r="9" spans="2:7" ht="14" x14ac:dyDescent="0.3">
      <c r="B9" s="16" t="s">
        <v>78</v>
      </c>
      <c r="C9" s="40" t="s">
        <v>152</v>
      </c>
      <c r="D9" s="44">
        <v>2</v>
      </c>
      <c r="E9" s="42" t="s">
        <v>153</v>
      </c>
      <c r="F9" s="46">
        <v>50000</v>
      </c>
      <c r="G9" s="46"/>
    </row>
    <row r="10" spans="2:7" ht="14" x14ac:dyDescent="0.3">
      <c r="B10" s="16" t="s">
        <v>79</v>
      </c>
      <c r="C10" s="40" t="s">
        <v>155</v>
      </c>
      <c r="D10" s="44">
        <v>1</v>
      </c>
      <c r="E10" s="42" t="s">
        <v>154</v>
      </c>
      <c r="F10" s="47">
        <v>500000</v>
      </c>
      <c r="G10" s="47"/>
    </row>
    <row r="11" spans="2:7" ht="14" x14ac:dyDescent="0.3">
      <c r="B11" s="16" t="s">
        <v>80</v>
      </c>
      <c r="C11" s="40" t="s">
        <v>155</v>
      </c>
      <c r="D11" s="44">
        <v>1</v>
      </c>
      <c r="E11" s="42" t="s">
        <v>153</v>
      </c>
      <c r="F11" s="47">
        <v>200000</v>
      </c>
      <c r="G11" s="47"/>
    </row>
    <row r="12" spans="2:7" ht="14" x14ac:dyDescent="0.3">
      <c r="B12" s="16" t="s">
        <v>81</v>
      </c>
      <c r="C12" s="40" t="s">
        <v>152</v>
      </c>
      <c r="D12" s="44">
        <v>2</v>
      </c>
      <c r="E12" s="42" t="s">
        <v>151</v>
      </c>
      <c r="F12" s="47">
        <v>160000</v>
      </c>
      <c r="G12" s="47"/>
    </row>
    <row r="13" spans="2:7" ht="14" x14ac:dyDescent="0.3">
      <c r="C13" s="25"/>
      <c r="D13" s="25"/>
      <c r="E13" s="42" t="s">
        <v>156</v>
      </c>
      <c r="F13" s="47">
        <f>SUM(F7:F12)</f>
        <v>1060000</v>
      </c>
      <c r="G13" s="47"/>
    </row>
    <row r="16" spans="2:7" ht="14" x14ac:dyDescent="0.3">
      <c r="D16" s="38" t="s">
        <v>157</v>
      </c>
      <c r="E16" s="31"/>
      <c r="F16" s="31"/>
    </row>
    <row r="17" spans="2:9" ht="15" customHeight="1" x14ac:dyDescent="0.3">
      <c r="D17" s="31"/>
      <c r="E17" s="31"/>
      <c r="F17" s="31"/>
    </row>
    <row r="18" spans="2:9" ht="14" x14ac:dyDescent="0.3">
      <c r="B18" s="13" t="s">
        <v>74</v>
      </c>
      <c r="C18" s="13" t="s">
        <v>75</v>
      </c>
      <c r="D18" s="13" t="s">
        <v>158</v>
      </c>
      <c r="E18" s="13" t="s">
        <v>159</v>
      </c>
      <c r="F18" s="13" t="s">
        <v>160</v>
      </c>
      <c r="G18" s="13" t="s">
        <v>161</v>
      </c>
      <c r="I18" s="25"/>
    </row>
    <row r="19" spans="2:9" ht="14" x14ac:dyDescent="0.3">
      <c r="B19" s="16">
        <v>1</v>
      </c>
      <c r="C19" s="26">
        <v>45279</v>
      </c>
      <c r="D19" s="15" t="s">
        <v>162</v>
      </c>
      <c r="E19" s="27">
        <v>1060000</v>
      </c>
      <c r="F19" s="12">
        <v>110000</v>
      </c>
      <c r="G19" s="27">
        <f>E19-F19</f>
        <v>950000</v>
      </c>
    </row>
    <row r="20" spans="2:9" ht="14" x14ac:dyDescent="0.3">
      <c r="B20" s="16">
        <v>2</v>
      </c>
      <c r="C20" s="26">
        <v>45293</v>
      </c>
      <c r="D20" s="15" t="s">
        <v>163</v>
      </c>
      <c r="E20" s="12"/>
      <c r="F20" s="12">
        <v>220000</v>
      </c>
      <c r="G20" s="27">
        <f>G19-F20</f>
        <v>730000</v>
      </c>
    </row>
    <row r="21" spans="2:9" ht="14" x14ac:dyDescent="0.3">
      <c r="F21" s="15" t="s">
        <v>164</v>
      </c>
      <c r="G21" s="27">
        <f>G20</f>
        <v>730000</v>
      </c>
    </row>
    <row r="22" spans="2:9" ht="15.75" customHeight="1" x14ac:dyDescent="0.3"/>
    <row r="23" spans="2:9" ht="15.75" customHeight="1" x14ac:dyDescent="0.3"/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0">
    <mergeCell ref="B1:G2"/>
    <mergeCell ref="D16:F17"/>
    <mergeCell ref="F7:G7"/>
    <mergeCell ref="F8:G8"/>
    <mergeCell ref="F6:G6"/>
    <mergeCell ref="F9:G9"/>
    <mergeCell ref="F10:G10"/>
    <mergeCell ref="F11:G11"/>
    <mergeCell ref="F12:G12"/>
    <mergeCell ref="F13:G13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rekap KAS</vt:lpstr>
      <vt:lpstr>Rekap tenda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DESKTOP ACER</cp:lastModifiedBy>
  <cp:lastPrinted>2024-08-23T08:33:17Z</cp:lastPrinted>
  <dcterms:created xsi:type="dcterms:W3CDTF">2024-08-19T13:04:41Z</dcterms:created>
  <dcterms:modified xsi:type="dcterms:W3CDTF">2024-08-23T13:03:06Z</dcterms:modified>
</cp:coreProperties>
</file>